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G\"/>
    </mc:Choice>
  </mc:AlternateContent>
  <workbookProtection workbookAlgorithmName="SHA-512" workbookHashValue="uAJpAZ1aHWvfthprRTiEv8ZRV6yteHQs7FResA7TnHDG2AOrdRWMcGTPUVFERkFEAKyrYftbMtmnoRycFTDQpg==" workbookSaltValue="AZqWHF5yT3Zd0AsaOksZUg==" workbookSpinCount="100000" lockStructure="1"/>
  <bookViews>
    <workbookView xWindow="0" yWindow="0" windowWidth="24000" windowHeight="96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Z16" i="1" l="1"/>
  <c r="HO17" i="1" l="1"/>
  <c r="O16" i="1"/>
  <c r="AC16" i="1"/>
  <c r="HN16" i="1"/>
  <c r="HH16" i="1"/>
  <c r="GQ16" i="1" l="1"/>
  <c r="GK16" i="1"/>
  <c r="GC16" i="1"/>
  <c r="FW16" i="1"/>
  <c r="FR16" i="1"/>
  <c r="FL16" i="1"/>
  <c r="FF16" i="1"/>
  <c r="HQ17" i="1" s="1"/>
  <c r="HR17" i="1" l="1"/>
  <c r="HS17" i="1" s="1"/>
  <c r="EX16" i="1"/>
  <c r="ES16" i="1"/>
  <c r="EN16" i="1"/>
  <c r="EH16" i="1"/>
  <c r="EB16" i="1"/>
  <c r="DX16" i="1"/>
  <c r="DR16" i="1"/>
  <c r="DM16" i="1"/>
  <c r="DH16" i="1"/>
  <c r="DD16" i="1"/>
  <c r="CY16" i="1"/>
  <c r="CT16" i="1"/>
  <c r="CO16" i="1"/>
  <c r="HP17" i="1" l="1"/>
  <c r="CI16" i="1"/>
  <c r="CD16" i="1"/>
  <c r="BY16" i="1"/>
  <c r="BT16" i="1"/>
  <c r="BO16" i="1"/>
  <c r="BI16" i="1"/>
  <c r="BE16" i="1"/>
  <c r="AZ16" i="1"/>
  <c r="AV16" i="1"/>
  <c r="AR16" i="1"/>
  <c r="AM16" i="1"/>
  <c r="AH16" i="1"/>
  <c r="X16" i="1"/>
  <c r="T16" i="1"/>
  <c r="J16" i="1"/>
  <c r="F16" i="1"/>
</calcChain>
</file>

<file path=xl/sharedStrings.xml><?xml version="1.0" encoding="utf-8"?>
<sst xmlns="http://schemas.openxmlformats.org/spreadsheetml/2006/main" count="273" uniqueCount="243">
  <si>
    <t>AÑO</t>
  </si>
  <si>
    <t>DIMENSIÓN AMBIENTAL</t>
  </si>
  <si>
    <t>DIMENSIÓN ECONÓMICA</t>
  </si>
  <si>
    <t>DIMENSIÓN SOCIAL</t>
  </si>
  <si>
    <t>ÍNDICE AMBIENTAL</t>
  </si>
  <si>
    <t>ÍNDICE ECONÓMICO</t>
  </si>
  <si>
    <t>ÍNDICE SOCIAL</t>
  </si>
  <si>
    <t>ÍNDICE
DESARROLLO
SOSTENIBLE</t>
  </si>
  <si>
    <t>DIMENSIÓN POLÍTICA</t>
  </si>
  <si>
    <t>Transición pacífica</t>
  </si>
  <si>
    <t>Metas políticas claras</t>
  </si>
  <si>
    <t>Satisfacción de la población</t>
  </si>
  <si>
    <t>ÍNDICE POLÍTICO</t>
  </si>
  <si>
    <t>Mecanización de la agricultura</t>
  </si>
  <si>
    <t>Explotación del subsuelo</t>
  </si>
  <si>
    <t>se dispone de lugares para compostajes</t>
  </si>
  <si>
    <t>Se usan las buenas técnicas de compostaje</t>
  </si>
  <si>
    <t>EDA</t>
  </si>
  <si>
    <t>Se dan clases de educación ambiental en las escuelas</t>
  </si>
  <si>
    <t>Se hacen prácticas de lo que se enseña en las escuelas</t>
  </si>
  <si>
    <t>Se vio una mejora en cuanto a protección ambiental local</t>
  </si>
  <si>
    <t>USERE</t>
  </si>
  <si>
    <t>Paneles solares</t>
  </si>
  <si>
    <t>Eólica</t>
  </si>
  <si>
    <t>Biomasa</t>
  </si>
  <si>
    <t>Caídas de agua</t>
  </si>
  <si>
    <t>comunidad dentro del parque</t>
  </si>
  <si>
    <t>Abierto al turismo</t>
  </si>
  <si>
    <t>Protección adecuada del parque</t>
  </si>
  <si>
    <t>Políticas de renovación del parque</t>
  </si>
  <si>
    <t>PAR-RESERVAS</t>
  </si>
  <si>
    <t>Tala de árboles sin reemplazarlos</t>
  </si>
  <si>
    <t>Renovación de árboles</t>
  </si>
  <si>
    <t>PROTECCIÓN DE ÁRBOLES</t>
  </si>
  <si>
    <t>Siembra de árboles después de talar</t>
  </si>
  <si>
    <t>Se apagan luces caseras después de dormidos</t>
  </si>
  <si>
    <t>Luces de las calles encendidas</t>
  </si>
  <si>
    <t>Buen consumo de ENERGÍA</t>
  </si>
  <si>
    <t>Uso de bombillas de pocos watts</t>
  </si>
  <si>
    <t>Uso de aparatos de pocos watts (lavadoras, refri y hornos)</t>
  </si>
  <si>
    <t>BCE</t>
  </si>
  <si>
    <t xml:space="preserve">FORESTACIÓN </t>
  </si>
  <si>
    <t>PARQUES Y RESERVAS NATURALES</t>
  </si>
  <si>
    <t>USO DE ENERGÍA RENOVABLE</t>
  </si>
  <si>
    <t>EDUCACIÓN AMBIENTAL</t>
  </si>
  <si>
    <t>COMPOSTAJE</t>
  </si>
  <si>
    <t>Incendios forestales</t>
  </si>
  <si>
    <t>FORESTACIÓN</t>
  </si>
  <si>
    <t xml:space="preserve">PROTECCIÓN DE ESPECIES </t>
  </si>
  <si>
    <t>Buena presencia de especies locales</t>
  </si>
  <si>
    <t>Buena presencia de especies exóticas</t>
  </si>
  <si>
    <t>Políticas de protección de especies animales</t>
  </si>
  <si>
    <t xml:space="preserve">Alta actividad de cazamiento </t>
  </si>
  <si>
    <t>PROTECCIÓN DE ESPECIES ANIMALES</t>
  </si>
  <si>
    <t>Buena cobertura forestal</t>
  </si>
  <si>
    <t>Políticas de protección de las selvas</t>
  </si>
  <si>
    <t>Resiembra de árboles</t>
  </si>
  <si>
    <t>PROTECCIÓN DE HÁBITAT</t>
  </si>
  <si>
    <t>Rehabilitación  de hábitats</t>
  </si>
  <si>
    <t>Destrucción de hábitats naturales</t>
  </si>
  <si>
    <t>Existencia de hábitats naturales</t>
  </si>
  <si>
    <t xml:space="preserve">Políticas de protección de hábitats naturales </t>
  </si>
  <si>
    <t>MITIGACIÓN DE Nox</t>
  </si>
  <si>
    <t>Acciones para mitigar emisiones de Nox</t>
  </si>
  <si>
    <t>Medición de Nox emitidos</t>
  </si>
  <si>
    <t>MITIGACIÓN DE CO2</t>
  </si>
  <si>
    <t>Acciones para mitigar emisiones de CO2</t>
  </si>
  <si>
    <t>Medición de CO2 emitidos</t>
  </si>
  <si>
    <t>Acciones para prevenir muchas emisiones de CO2</t>
  </si>
  <si>
    <t>Acciones para prevenir muchas emisiones de Nox</t>
  </si>
  <si>
    <t>AGUA POTABLE</t>
  </si>
  <si>
    <t>ACCESO FÁCIL PARA TODOS</t>
  </si>
  <si>
    <t>BAJA PRESIÓN DEL AGUA</t>
  </si>
  <si>
    <t>CLORIFICACIÓN DEL AGUA</t>
  </si>
  <si>
    <t>PROTECCIÓN DEL RESERVORIO</t>
  </si>
  <si>
    <t>CLIMA</t>
  </si>
  <si>
    <t>Tropical húmedo</t>
  </si>
  <si>
    <t>Tropical seco</t>
  </si>
  <si>
    <t>Ni uno ni otro</t>
  </si>
  <si>
    <t>ESTADO DE RÍOS</t>
  </si>
  <si>
    <t>RÍOS INTERMITENTES</t>
  </si>
  <si>
    <t>RÍOS PERMANENTES</t>
  </si>
  <si>
    <t>RÍOS LIMPIOS</t>
  </si>
  <si>
    <t>RÍOS CONTAMINADOS</t>
  </si>
  <si>
    <t>PROTECCIÓN DE NACIENTES</t>
  </si>
  <si>
    <t>ESTADO DE RÍO</t>
  </si>
  <si>
    <t>ESPACIOS VERDES</t>
  </si>
  <si>
    <t>Existencia de Espacios verdes</t>
  </si>
  <si>
    <t>Mantenimiento constante</t>
  </si>
  <si>
    <t>Espacio verde mal usado</t>
  </si>
  <si>
    <t xml:space="preserve"> Mantenimiento con intervalo de tiempo grande</t>
  </si>
  <si>
    <t>CONSUMO DE AGUA</t>
  </si>
  <si>
    <t>Uso de la cantidad exacta de agua que se necesita</t>
  </si>
  <si>
    <t>Cañería averiada</t>
  </si>
  <si>
    <t>Reuso de las aguas usadas</t>
  </si>
  <si>
    <t>Medición del caudal del agua que recibe cada hogar</t>
  </si>
  <si>
    <t xml:space="preserve">USO DE QUÍMICOS </t>
  </si>
  <si>
    <t>Aplicación de productos de etiqueta verde</t>
  </si>
  <si>
    <t>Aplicación de productos de etiqueta roja</t>
  </si>
  <si>
    <t>Aplicación de productos orgánicos</t>
  </si>
  <si>
    <t>Chapea mecánica en vez de la química</t>
  </si>
  <si>
    <t>USO DE QUÍMICOS</t>
  </si>
  <si>
    <t>RECICLAJE</t>
  </si>
  <si>
    <t>Existencia de centro de acopio</t>
  </si>
  <si>
    <t>Recolección de desechos plásticos</t>
  </si>
  <si>
    <t>Presencia de desechos plásticos fuera de basureros</t>
  </si>
  <si>
    <t>Incentivos hacia el reciclar</t>
  </si>
  <si>
    <t xml:space="preserve">TASA DE EMPLEO </t>
  </si>
  <si>
    <t>Trabajos accesibles para todos</t>
  </si>
  <si>
    <t>Feria de empleos</t>
  </si>
  <si>
    <t>Salario minímo insuficiente</t>
  </si>
  <si>
    <t>Oferta de empleos</t>
  </si>
  <si>
    <t>TASA DE EMPLEO</t>
  </si>
  <si>
    <t>EXPORTACIÓN</t>
  </si>
  <si>
    <t>Exportación de productos locales a otras zonas</t>
  </si>
  <si>
    <t>No se exporta porque solo se produce para autoconsumo</t>
  </si>
  <si>
    <t>Se importa  mucho desde otras zonas</t>
  </si>
  <si>
    <t>Exportación aporta a ingresos de los hogares</t>
  </si>
  <si>
    <t>PYMES</t>
  </si>
  <si>
    <t>Existencia de empresas familiares</t>
  </si>
  <si>
    <t>Dificultad de emprender en la zona</t>
  </si>
  <si>
    <t>Pymes aportan a los ingresos familiares</t>
  </si>
  <si>
    <t>Pymes se autosustentan económicamente</t>
  </si>
  <si>
    <t xml:space="preserve">DESCENTRALIZACIÓN </t>
  </si>
  <si>
    <t>Servicios estatales importantes descentralizados</t>
  </si>
  <si>
    <t>Servicos estatales importantes en zonas cercanas</t>
  </si>
  <si>
    <t>Servicios estatales importantes concentrado en ciudades lejanas</t>
  </si>
  <si>
    <t>Facilidad de acceder a estos servicios cuando están descentralizados</t>
  </si>
  <si>
    <t>DESCENTRALIZACIÓN DE SERVICIOS</t>
  </si>
  <si>
    <t>Garantía laboral</t>
  </si>
  <si>
    <t>INFLACIÓN</t>
  </si>
  <si>
    <t>Aumento constante</t>
  </si>
  <si>
    <t>Acciones para pararla o reducir su aumento</t>
  </si>
  <si>
    <t>Afecta la calidad de vida de las personas</t>
  </si>
  <si>
    <t>MINERÍA</t>
  </si>
  <si>
    <t>Poca explotación minera</t>
  </si>
  <si>
    <t>Políticas que impiden explotación minera</t>
  </si>
  <si>
    <t>Explotación minera aporta a los ingresos de la zona</t>
  </si>
  <si>
    <t>AGRICULTURA MECANIZADA</t>
  </si>
  <si>
    <t>Dificultad de adquirir maquinarias agrícolas</t>
  </si>
  <si>
    <t>Mecanización de la agricultura afecta a la mano de obra de la zona</t>
  </si>
  <si>
    <t>Ella aporta a que la zona progrese en términos de economía local</t>
  </si>
  <si>
    <t>INFRAESTRUCTURAS VIALES</t>
  </si>
  <si>
    <t>Conexión vial con ciudades importantes</t>
  </si>
  <si>
    <t>Rutas alfatadas</t>
  </si>
  <si>
    <t>Embotellamiento a menudo</t>
  </si>
  <si>
    <t>Reparación a menudo de rutas dañadas</t>
  </si>
  <si>
    <t xml:space="preserve">Rutas alternas en caso de problemas viales </t>
  </si>
  <si>
    <t>AEROLÍNEA NACIONAL</t>
  </si>
  <si>
    <t>Conexión aérea con otras ciudades del país</t>
  </si>
  <si>
    <t>Plan para construir un aeropuerto local</t>
  </si>
  <si>
    <t>Ausencia del mismo afecta el progreso de la zona</t>
  </si>
  <si>
    <t>BANCOS</t>
  </si>
  <si>
    <t>Banco nacional en la zona</t>
  </si>
  <si>
    <t>Cajero</t>
  </si>
  <si>
    <t>Otros bancos</t>
  </si>
  <si>
    <t>Dificultad de préstamo en estos bancos</t>
  </si>
  <si>
    <t>Genera empleos</t>
  </si>
  <si>
    <t>FÁBRICAS</t>
  </si>
  <si>
    <t>Genera empleos en la zona</t>
  </si>
  <si>
    <t>Descentralización de las fábricas</t>
  </si>
  <si>
    <t>Contribuye al progreso de la zona</t>
  </si>
  <si>
    <t>Contamina la zona</t>
  </si>
  <si>
    <t>Se aprovecha de las producciones locales</t>
  </si>
  <si>
    <t>TURISMO</t>
  </si>
  <si>
    <t>Existencia de atracción turística</t>
  </si>
  <si>
    <t>Turismo aporta a los ingresos de la zona</t>
  </si>
  <si>
    <t>Turismo seguro</t>
  </si>
  <si>
    <t>Acceso  vial para turismo</t>
  </si>
  <si>
    <t>DEMOGRAFÍA</t>
  </si>
  <si>
    <t>Alta densidad de habitantes</t>
  </si>
  <si>
    <t>Control de natalidad</t>
  </si>
  <si>
    <t>Tasa alta de adolescentes padres</t>
  </si>
  <si>
    <t>Afecta disponibilidad de servicios</t>
  </si>
  <si>
    <t>Corrupción</t>
  </si>
  <si>
    <t>Estabilidad Política</t>
  </si>
  <si>
    <t>Políticos electos contribuyen a progreso de la zona</t>
  </si>
  <si>
    <t>Existencia de diálogo entre políticos y el pueblo</t>
  </si>
  <si>
    <t>POLÍTICA</t>
  </si>
  <si>
    <t xml:space="preserve">INVERSIÓN EN PROYECTOS </t>
  </si>
  <si>
    <t>La población propone proyectos sociales al gobierno</t>
  </si>
  <si>
    <t>Se realizan los proyectos propuestos</t>
  </si>
  <si>
    <t>Gobierno propone proyectos sociales</t>
  </si>
  <si>
    <t>Los proyectos realizados contribuyen al progreso social de la zona</t>
  </si>
  <si>
    <t>Corrupción en la inversión de los proyectos sociales apropiados</t>
  </si>
  <si>
    <t>INVERSIÓN EN PROYECTOS</t>
  </si>
  <si>
    <t>IGUALDAD SOCIAL</t>
  </si>
  <si>
    <t>Salario independientemente del género</t>
  </si>
  <si>
    <t>Violencia contra mujeres</t>
  </si>
  <si>
    <t>Violencia contra hombres</t>
  </si>
  <si>
    <t>Misma oportunidad de trabajo para ambos géneros</t>
  </si>
  <si>
    <t>Misma oportunidad de educación para ambos géneros</t>
  </si>
  <si>
    <t>ACTIVIDADES DE INTEGRACIÓN</t>
  </si>
  <si>
    <t>Organización de fiestas patronales (Carnaval, etc.)</t>
  </si>
  <si>
    <t>Violencia en estas actividades</t>
  </si>
  <si>
    <t xml:space="preserve">Satisfacción del pueblo </t>
  </si>
  <si>
    <t>Se logra que el la población se integre</t>
  </si>
  <si>
    <t>ZONAS DE DIVERSIÓN</t>
  </si>
  <si>
    <t>Existencia Instalaciones deportivas</t>
  </si>
  <si>
    <t>Existencia de plazas o parques</t>
  </si>
  <si>
    <t>Buen manejo de las intalaciones deportivas</t>
  </si>
  <si>
    <t>Buen manejo de las plazas o parques</t>
  </si>
  <si>
    <t>Inseguridad en esos lugares</t>
  </si>
  <si>
    <t xml:space="preserve">CENTROS MÉDICOS </t>
  </si>
  <si>
    <t>Existencia de centros médicos avanzados alejados</t>
  </si>
  <si>
    <t>Se atiende sin discriminación</t>
  </si>
  <si>
    <t>Mucho tiempo de espera de ser atendido</t>
  </si>
  <si>
    <t>Oficina de Cruz roja</t>
  </si>
  <si>
    <t>Médicos disponibles 24/7</t>
  </si>
  <si>
    <t>CENTROS MÉDICOS</t>
  </si>
  <si>
    <t>Presenciad de una farmacia</t>
  </si>
  <si>
    <t>Existencia de ebais o alguna clínica privada</t>
  </si>
  <si>
    <t>BIENESTAR DEL PUEBLO</t>
  </si>
  <si>
    <t xml:space="preserve">El pueblo se siente bien viviendo en la zona </t>
  </si>
  <si>
    <t>Los nuevos llegados se sienten bien en la zona</t>
  </si>
  <si>
    <t>Existencia de grupos de personas que ensucian la fama de la zona</t>
  </si>
  <si>
    <t>Homicidios frecuentes</t>
  </si>
  <si>
    <t>Seguridad</t>
  </si>
  <si>
    <t>PROTECCIÓN A LA GENTE</t>
  </si>
  <si>
    <t>Protección a los ancianos</t>
  </si>
  <si>
    <t>Protección a personas discapacitadas</t>
  </si>
  <si>
    <t>Protección a la niñez</t>
  </si>
  <si>
    <t>Organuismos contra agresiones físicas y sexuales a personas</t>
  </si>
  <si>
    <t>Presencia de indigentes en las calles</t>
  </si>
  <si>
    <t xml:space="preserve">Seguro social accesible para todos </t>
  </si>
  <si>
    <t>Seguro médico accesible para todos</t>
  </si>
  <si>
    <t>Delegación policial suficiente</t>
  </si>
  <si>
    <t>EDUCACIÓN</t>
  </si>
  <si>
    <t>Hay Establecimiento escolar mínimo</t>
  </si>
  <si>
    <t>Escuela técnica en la zona</t>
  </si>
  <si>
    <t>Título permite inserción en la vida laboral</t>
  </si>
  <si>
    <t>Educación se ve reflejada en la vida de los que viven en la zona</t>
  </si>
  <si>
    <t>Corrupción en los proyectos escolares</t>
  </si>
  <si>
    <t>Sistema de becas para personas incapaces económicamente</t>
  </si>
  <si>
    <t>Los estudiantes continuan sus estudios tras salir del colegio</t>
  </si>
  <si>
    <t>SEGURIDAD</t>
  </si>
  <si>
    <t>Presencia de delagación policial</t>
  </si>
  <si>
    <t>Cuerpos policiales contrubuye a la seguridad del lugar</t>
  </si>
  <si>
    <t>Tasa alta de delincuencia</t>
  </si>
  <si>
    <t>Comercio de droga o cosas casi del mismo estilo</t>
  </si>
  <si>
    <t>SÍ=1,00 Y NO=0,00    ESCALA DE STANDLEY PARA CÁLCULO DE IDS DE TERRITORIOS</t>
  </si>
  <si>
    <t>Se compostea todo el material orgánico que se genera</t>
  </si>
  <si>
    <t>El compostaje se usa para el fin por el cual se lo hizo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</si>
</sst>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CC00"/>
      <name val="Arial"/>
      <family val="2"/>
    </font>
    <font>
      <b/>
      <sz val="20"/>
      <color theme="1"/>
      <name val="Calibri"/>
      <family val="2"/>
      <scheme val="minor"/>
    </font>
    <font>
      <b/>
      <sz val="14"/>
      <color theme="8"/>
      <name val="Calibri"/>
      <family val="2"/>
      <scheme val="minor"/>
    </font>
    <font>
      <b/>
      <sz val="72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2">
    <xf numFmtId="0" fontId="0" fillId="0" borderId="0" xfId="0"/>
    <xf numFmtId="0" fontId="0" fillId="2" borderId="0" xfId="0" applyFont="1" applyFill="1" applyBorder="1" applyAlignment="1">
      <alignment horizontal="center"/>
    </xf>
    <xf numFmtId="2" fontId="0" fillId="3" borderId="1" xfId="0" applyNumberFormat="1" applyFont="1" applyFill="1" applyBorder="1"/>
    <xf numFmtId="2" fontId="0" fillId="3" borderId="0" xfId="0" applyNumberFormat="1" applyFont="1" applyFill="1" applyBorder="1"/>
    <xf numFmtId="2" fontId="2" fillId="3" borderId="0" xfId="0" applyNumberFormat="1" applyFont="1" applyFill="1" applyBorder="1"/>
    <xf numFmtId="2" fontId="0" fillId="0" borderId="2" xfId="0" applyNumberFormat="1" applyFont="1" applyBorder="1"/>
    <xf numFmtId="2" fontId="0" fillId="0" borderId="3" xfId="0" applyNumberFormat="1" applyFont="1" applyBorder="1"/>
    <xf numFmtId="2" fontId="0" fillId="4" borderId="3" xfId="0" applyNumberFormat="1" applyFont="1" applyFill="1" applyBorder="1"/>
    <xf numFmtId="0" fontId="3" fillId="9" borderId="6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/>
    </xf>
    <xf numFmtId="2" fontId="1" fillId="5" borderId="0" xfId="0" applyNumberFormat="1" applyFont="1" applyFill="1" applyBorder="1" applyAlignment="1">
      <alignment horizontal="center" vertical="center"/>
    </xf>
    <xf numFmtId="2" fontId="0" fillId="4" borderId="0" xfId="0" applyNumberFormat="1" applyFont="1" applyFill="1" applyBorder="1"/>
    <xf numFmtId="0" fontId="3" fillId="12" borderId="6" xfId="0" applyFont="1" applyFill="1" applyBorder="1" applyAlignment="1">
      <alignment horizontal="center" vertical="center" wrapText="1"/>
    </xf>
    <xf numFmtId="2" fontId="4" fillId="12" borderId="6" xfId="0" applyNumberFormat="1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3" borderId="6" xfId="0" applyFont="1" applyFill="1" applyBorder="1" applyAlignment="1">
      <alignment horizontal="center" vertical="center" wrapText="1"/>
    </xf>
    <xf numFmtId="2" fontId="4" fillId="13" borderId="6" xfId="0" applyNumberFormat="1" applyFont="1" applyFill="1" applyBorder="1" applyAlignment="1">
      <alignment horizontal="center" vertical="center"/>
    </xf>
    <xf numFmtId="9" fontId="0" fillId="13" borderId="0" xfId="0" applyNumberFormat="1" applyFill="1"/>
    <xf numFmtId="0" fontId="0" fillId="13" borderId="0" xfId="0" applyFill="1"/>
    <xf numFmtId="2" fontId="4" fillId="14" borderId="6" xfId="0" applyNumberFormat="1" applyFont="1" applyFill="1" applyBorder="1" applyAlignment="1">
      <alignment horizontal="center" vertical="center"/>
    </xf>
    <xf numFmtId="0" fontId="3" fillId="15" borderId="6" xfId="0" applyFont="1" applyFill="1" applyBorder="1" applyAlignment="1">
      <alignment horizontal="center" vertical="center" wrapText="1"/>
    </xf>
    <xf numFmtId="2" fontId="4" fillId="15" borderId="6" xfId="0" applyNumberFormat="1" applyFont="1" applyFill="1" applyBorder="1" applyAlignment="1">
      <alignment horizontal="center" vertical="center"/>
    </xf>
    <xf numFmtId="9" fontId="0" fillId="15" borderId="0" xfId="0" applyNumberFormat="1" applyFill="1"/>
    <xf numFmtId="0" fontId="0" fillId="15" borderId="0" xfId="0" applyFill="1"/>
    <xf numFmtId="0" fontId="3" fillId="16" borderId="8" xfId="0" applyFont="1" applyFill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center" vertical="center" wrapText="1"/>
    </xf>
    <xf numFmtId="2" fontId="4" fillId="16" borderId="6" xfId="0" applyNumberFormat="1" applyFont="1" applyFill="1" applyBorder="1" applyAlignment="1">
      <alignment horizontal="center" vertical="center"/>
    </xf>
    <xf numFmtId="9" fontId="0" fillId="16" borderId="0" xfId="0" applyNumberFormat="1" applyFill="1"/>
    <xf numFmtId="0" fontId="0" fillId="16" borderId="0" xfId="0" applyFill="1"/>
    <xf numFmtId="2" fontId="4" fillId="17" borderId="6" xfId="0" applyNumberFormat="1" applyFont="1" applyFill="1" applyBorder="1" applyAlignment="1">
      <alignment horizontal="center" vertical="center"/>
    </xf>
    <xf numFmtId="0" fontId="3" fillId="18" borderId="6" xfId="0" applyFont="1" applyFill="1" applyBorder="1" applyAlignment="1">
      <alignment horizontal="center" vertical="center" wrapText="1"/>
    </xf>
    <xf numFmtId="2" fontId="4" fillId="18" borderId="6" xfId="0" applyNumberFormat="1" applyFont="1" applyFill="1" applyBorder="1" applyAlignment="1">
      <alignment horizontal="center" vertical="center"/>
    </xf>
    <xf numFmtId="9" fontId="0" fillId="18" borderId="0" xfId="0" applyNumberFormat="1" applyFill="1"/>
    <xf numFmtId="9" fontId="0" fillId="12" borderId="0" xfId="0" applyNumberFormat="1" applyFill="1"/>
    <xf numFmtId="0" fontId="3" fillId="19" borderId="6" xfId="0" applyFont="1" applyFill="1" applyBorder="1" applyAlignment="1">
      <alignment horizontal="center" vertical="center" wrapText="1"/>
    </xf>
    <xf numFmtId="0" fontId="3" fillId="19" borderId="4" xfId="0" applyFont="1" applyFill="1" applyBorder="1" applyAlignment="1">
      <alignment horizontal="center" vertical="center" wrapText="1"/>
    </xf>
    <xf numFmtId="2" fontId="4" fillId="19" borderId="6" xfId="0" applyNumberFormat="1" applyFont="1" applyFill="1" applyBorder="1" applyAlignment="1">
      <alignment horizontal="center" vertical="center"/>
    </xf>
    <xf numFmtId="9" fontId="0" fillId="19" borderId="0" xfId="0" applyNumberFormat="1" applyFill="1"/>
    <xf numFmtId="0" fontId="0" fillId="19" borderId="0" xfId="0" applyFill="1"/>
    <xf numFmtId="0" fontId="3" fillId="20" borderId="6" xfId="0" applyFont="1" applyFill="1" applyBorder="1" applyAlignment="1">
      <alignment horizontal="center" vertical="center" wrapText="1"/>
    </xf>
    <xf numFmtId="2" fontId="4" fillId="20" borderId="6" xfId="0" applyNumberFormat="1" applyFont="1" applyFill="1" applyBorder="1" applyAlignment="1">
      <alignment horizontal="center" vertical="center"/>
    </xf>
    <xf numFmtId="9" fontId="0" fillId="20" borderId="0" xfId="0" applyNumberFormat="1" applyFill="1"/>
    <xf numFmtId="0" fontId="0" fillId="20" borderId="0" xfId="0" applyFill="1"/>
    <xf numFmtId="0" fontId="3" fillId="21" borderId="6" xfId="0" applyFont="1" applyFill="1" applyBorder="1" applyAlignment="1">
      <alignment horizontal="center" vertical="center" wrapText="1"/>
    </xf>
    <xf numFmtId="2" fontId="4" fillId="21" borderId="6" xfId="0" applyNumberFormat="1" applyFont="1" applyFill="1" applyBorder="1" applyAlignment="1">
      <alignment horizontal="center" vertical="center"/>
    </xf>
    <xf numFmtId="9" fontId="0" fillId="21" borderId="0" xfId="0" applyNumberFormat="1" applyFill="1"/>
    <xf numFmtId="0" fontId="0" fillId="21" borderId="0" xfId="0" applyFill="1"/>
    <xf numFmtId="0" fontId="3" fillId="22" borderId="6" xfId="0" applyFont="1" applyFill="1" applyBorder="1" applyAlignment="1">
      <alignment horizontal="center" vertical="center" wrapText="1"/>
    </xf>
    <xf numFmtId="2" fontId="4" fillId="22" borderId="6" xfId="0" applyNumberFormat="1" applyFont="1" applyFill="1" applyBorder="1" applyAlignment="1">
      <alignment horizontal="center" vertical="center"/>
    </xf>
    <xf numFmtId="9" fontId="0" fillId="22" borderId="0" xfId="0" applyNumberFormat="1" applyFill="1"/>
    <xf numFmtId="0" fontId="0" fillId="22" borderId="0" xfId="0" applyFill="1"/>
    <xf numFmtId="0" fontId="3" fillId="23" borderId="6" xfId="0" applyFont="1" applyFill="1" applyBorder="1" applyAlignment="1">
      <alignment horizontal="center" vertical="center" wrapText="1"/>
    </xf>
    <xf numFmtId="2" fontId="4" fillId="23" borderId="6" xfId="0" applyNumberFormat="1" applyFont="1" applyFill="1" applyBorder="1" applyAlignment="1">
      <alignment horizontal="center" vertical="center"/>
    </xf>
    <xf numFmtId="9" fontId="0" fillId="23" borderId="0" xfId="0" applyNumberFormat="1" applyFill="1"/>
    <xf numFmtId="0" fontId="0" fillId="23" borderId="0" xfId="0" applyFill="1"/>
    <xf numFmtId="0" fontId="3" fillId="24" borderId="6" xfId="0" applyFont="1" applyFill="1" applyBorder="1" applyAlignment="1">
      <alignment horizontal="center" vertical="center" wrapText="1"/>
    </xf>
    <xf numFmtId="2" fontId="4" fillId="24" borderId="6" xfId="0" applyNumberFormat="1" applyFont="1" applyFill="1" applyBorder="1" applyAlignment="1">
      <alignment horizontal="center" vertical="center"/>
    </xf>
    <xf numFmtId="9" fontId="0" fillId="24" borderId="0" xfId="0" applyNumberFormat="1" applyFill="1"/>
    <xf numFmtId="0" fontId="0" fillId="24" borderId="0" xfId="0" applyFill="1"/>
    <xf numFmtId="0" fontId="0" fillId="18" borderId="0" xfId="0" applyFill="1"/>
    <xf numFmtId="0" fontId="3" fillId="25" borderId="6" xfId="0" applyFont="1" applyFill="1" applyBorder="1" applyAlignment="1">
      <alignment horizontal="center" vertical="center" wrapText="1"/>
    </xf>
    <xf numFmtId="2" fontId="4" fillId="25" borderId="6" xfId="0" applyNumberFormat="1" applyFont="1" applyFill="1" applyBorder="1" applyAlignment="1">
      <alignment horizontal="center" vertical="center"/>
    </xf>
    <xf numFmtId="9" fontId="0" fillId="25" borderId="0" xfId="0" applyNumberFormat="1" applyFill="1"/>
    <xf numFmtId="0" fontId="0" fillId="25" borderId="0" xfId="0" applyFill="1"/>
    <xf numFmtId="0" fontId="3" fillId="17" borderId="6" xfId="0" applyFont="1" applyFill="1" applyBorder="1" applyAlignment="1">
      <alignment horizontal="center" vertical="center" wrapText="1"/>
    </xf>
    <xf numFmtId="9" fontId="0" fillId="17" borderId="0" xfId="0" applyNumberFormat="1" applyFill="1"/>
    <xf numFmtId="0" fontId="0" fillId="17" borderId="0" xfId="0" applyFill="1"/>
    <xf numFmtId="0" fontId="3" fillId="18" borderId="8" xfId="0" applyFont="1" applyFill="1" applyBorder="1" applyAlignment="1">
      <alignment horizontal="left" vertical="center" wrapText="1"/>
    </xf>
    <xf numFmtId="0" fontId="3" fillId="24" borderId="9" xfId="0" applyFont="1" applyFill="1" applyBorder="1" applyAlignment="1">
      <alignment horizontal="center" vertical="center"/>
    </xf>
    <xf numFmtId="0" fontId="3" fillId="26" borderId="6" xfId="0" applyFont="1" applyFill="1" applyBorder="1" applyAlignment="1">
      <alignment horizontal="center" vertical="center" wrapText="1"/>
    </xf>
    <xf numFmtId="2" fontId="4" fillId="26" borderId="6" xfId="0" applyNumberFormat="1" applyFont="1" applyFill="1" applyBorder="1" applyAlignment="1">
      <alignment horizontal="center" vertical="center"/>
    </xf>
    <xf numFmtId="9" fontId="0" fillId="26" borderId="0" xfId="0" applyNumberFormat="1" applyFill="1"/>
    <xf numFmtId="0" fontId="0" fillId="26" borderId="0" xfId="0" applyFill="1"/>
    <xf numFmtId="0" fontId="3" fillId="27" borderId="6" xfId="0" applyFont="1" applyFill="1" applyBorder="1" applyAlignment="1">
      <alignment horizontal="center" vertical="center" wrapText="1"/>
    </xf>
    <xf numFmtId="2" fontId="4" fillId="27" borderId="6" xfId="0" applyNumberFormat="1" applyFont="1" applyFill="1" applyBorder="1" applyAlignment="1">
      <alignment horizontal="center" vertical="center"/>
    </xf>
    <xf numFmtId="9" fontId="0" fillId="27" borderId="0" xfId="0" applyNumberFormat="1" applyFill="1"/>
    <xf numFmtId="0" fontId="0" fillId="27" borderId="0" xfId="0" applyFill="1"/>
    <xf numFmtId="2" fontId="4" fillId="9" borderId="6" xfId="0" applyNumberFormat="1" applyFont="1" applyFill="1" applyBorder="1" applyAlignment="1">
      <alignment horizontal="center" vertical="center"/>
    </xf>
    <xf numFmtId="9" fontId="0" fillId="9" borderId="0" xfId="0" applyNumberFormat="1" applyFill="1"/>
    <xf numFmtId="0" fontId="0" fillId="9" borderId="0" xfId="0" applyFill="1"/>
    <xf numFmtId="0" fontId="3" fillId="11" borderId="6" xfId="0" applyFont="1" applyFill="1" applyBorder="1" applyAlignment="1">
      <alignment horizontal="center" vertical="center" wrapText="1"/>
    </xf>
    <xf numFmtId="2" fontId="4" fillId="11" borderId="6" xfId="0" applyNumberFormat="1" applyFont="1" applyFill="1" applyBorder="1" applyAlignment="1">
      <alignment horizontal="center" vertical="center"/>
    </xf>
    <xf numFmtId="9" fontId="0" fillId="11" borderId="0" xfId="0" applyNumberFormat="1" applyFill="1"/>
    <xf numFmtId="0" fontId="0" fillId="11" borderId="0" xfId="0" applyFill="1"/>
    <xf numFmtId="0" fontId="3" fillId="28" borderId="6" xfId="0" applyFont="1" applyFill="1" applyBorder="1" applyAlignment="1">
      <alignment horizontal="center" vertical="center" wrapText="1"/>
    </xf>
    <xf numFmtId="2" fontId="4" fillId="28" borderId="6" xfId="0" applyNumberFormat="1" applyFont="1" applyFill="1" applyBorder="1" applyAlignment="1">
      <alignment horizontal="center" vertical="center"/>
    </xf>
    <xf numFmtId="9" fontId="0" fillId="28" borderId="0" xfId="0" applyNumberFormat="1" applyFill="1"/>
    <xf numFmtId="0" fontId="0" fillId="28" borderId="0" xfId="0" applyFill="1"/>
    <xf numFmtId="0" fontId="3" fillId="29" borderId="6" xfId="0" applyFont="1" applyFill="1" applyBorder="1" applyAlignment="1">
      <alignment horizontal="center" vertical="center" wrapText="1"/>
    </xf>
    <xf numFmtId="2" fontId="4" fillId="29" borderId="6" xfId="0" applyNumberFormat="1" applyFont="1" applyFill="1" applyBorder="1" applyAlignment="1">
      <alignment horizontal="center" vertical="center"/>
    </xf>
    <xf numFmtId="9" fontId="0" fillId="29" borderId="0" xfId="0" applyNumberFormat="1" applyFill="1"/>
    <xf numFmtId="0" fontId="0" fillId="29" borderId="0" xfId="0" applyFill="1"/>
    <xf numFmtId="0" fontId="3" fillId="30" borderId="6" xfId="0" applyFont="1" applyFill="1" applyBorder="1" applyAlignment="1">
      <alignment horizontal="center" vertical="center" wrapText="1"/>
    </xf>
    <xf numFmtId="2" fontId="4" fillId="30" borderId="6" xfId="0" applyNumberFormat="1" applyFont="1" applyFill="1" applyBorder="1" applyAlignment="1">
      <alignment horizontal="center" vertical="center"/>
    </xf>
    <xf numFmtId="9" fontId="0" fillId="30" borderId="0" xfId="0" applyNumberFormat="1" applyFill="1"/>
    <xf numFmtId="0" fontId="0" fillId="30" borderId="0" xfId="0" applyFill="1"/>
    <xf numFmtId="0" fontId="3" fillId="6" borderId="6" xfId="0" applyFont="1" applyFill="1" applyBorder="1" applyAlignment="1">
      <alignment horizontal="center" vertical="center" wrapText="1"/>
    </xf>
    <xf numFmtId="2" fontId="4" fillId="6" borderId="6" xfId="0" applyNumberFormat="1" applyFont="1" applyFill="1" applyBorder="1" applyAlignment="1">
      <alignment horizontal="center" vertical="center"/>
    </xf>
    <xf numFmtId="9" fontId="0" fillId="6" borderId="0" xfId="0" applyNumberFormat="1" applyFill="1"/>
    <xf numFmtId="0" fontId="0" fillId="6" borderId="0" xfId="0" applyFill="1"/>
    <xf numFmtId="0" fontId="3" fillId="31" borderId="6" xfId="0" applyFont="1" applyFill="1" applyBorder="1" applyAlignment="1">
      <alignment horizontal="center" vertical="center" wrapText="1"/>
    </xf>
    <xf numFmtId="2" fontId="4" fillId="31" borderId="6" xfId="0" applyNumberFormat="1" applyFont="1" applyFill="1" applyBorder="1" applyAlignment="1">
      <alignment horizontal="center" vertical="center"/>
    </xf>
    <xf numFmtId="9" fontId="0" fillId="31" borderId="0" xfId="0" applyNumberFormat="1" applyFill="1"/>
    <xf numFmtId="0" fontId="0" fillId="31" borderId="0" xfId="0" applyFill="1"/>
    <xf numFmtId="0" fontId="3" fillId="32" borderId="6" xfId="0" applyFont="1" applyFill="1" applyBorder="1" applyAlignment="1">
      <alignment horizontal="center" vertical="center" wrapText="1"/>
    </xf>
    <xf numFmtId="2" fontId="4" fillId="32" borderId="6" xfId="0" applyNumberFormat="1" applyFont="1" applyFill="1" applyBorder="1" applyAlignment="1">
      <alignment horizontal="center" vertical="center"/>
    </xf>
    <xf numFmtId="9" fontId="0" fillId="32" borderId="0" xfId="0" applyNumberFormat="1" applyFill="1"/>
    <xf numFmtId="0" fontId="3" fillId="33" borderId="6" xfId="0" applyFont="1" applyFill="1" applyBorder="1" applyAlignment="1">
      <alignment horizontal="center" vertical="center" wrapText="1"/>
    </xf>
    <xf numFmtId="2" fontId="4" fillId="33" borderId="6" xfId="0" applyNumberFormat="1" applyFont="1" applyFill="1" applyBorder="1" applyAlignment="1">
      <alignment horizontal="center" vertical="center"/>
    </xf>
    <xf numFmtId="9" fontId="0" fillId="33" borderId="0" xfId="0" applyNumberFormat="1" applyFill="1"/>
    <xf numFmtId="0" fontId="0" fillId="33" borderId="0" xfId="0" applyFill="1"/>
    <xf numFmtId="0" fontId="3" fillId="13" borderId="9" xfId="0" applyFont="1" applyFill="1" applyBorder="1" applyAlignment="1">
      <alignment horizontal="center" vertical="center"/>
    </xf>
    <xf numFmtId="9" fontId="0" fillId="0" borderId="0" xfId="0" applyNumberFormat="1"/>
    <xf numFmtId="9" fontId="0" fillId="34" borderId="0" xfId="0" applyNumberFormat="1" applyFill="1"/>
    <xf numFmtId="0" fontId="0" fillId="34" borderId="0" xfId="0" applyFill="1"/>
    <xf numFmtId="9" fontId="0" fillId="35" borderId="0" xfId="0" applyNumberFormat="1" applyFill="1"/>
    <xf numFmtId="9" fontId="0" fillId="36" borderId="0" xfId="0" applyNumberFormat="1" applyFill="1"/>
    <xf numFmtId="2" fontId="3" fillId="12" borderId="6" xfId="0" applyNumberFormat="1" applyFont="1" applyFill="1" applyBorder="1" applyAlignment="1">
      <alignment horizontal="center" vertical="center"/>
    </xf>
    <xf numFmtId="2" fontId="5" fillId="12" borderId="6" xfId="0" applyNumberFormat="1" applyFont="1" applyFill="1" applyBorder="1" applyAlignment="1">
      <alignment horizontal="center" vertical="center"/>
    </xf>
    <xf numFmtId="2" fontId="7" fillId="12" borderId="0" xfId="0" applyNumberFormat="1" applyFont="1" applyFill="1" applyAlignment="1">
      <alignment vertical="center"/>
    </xf>
    <xf numFmtId="0" fontId="3" fillId="28" borderId="7" xfId="0" applyFont="1" applyFill="1" applyBorder="1" applyAlignment="1">
      <alignment horizontal="center" vertical="center"/>
    </xf>
    <xf numFmtId="0" fontId="3" fillId="28" borderId="8" xfId="0" applyFont="1" applyFill="1" applyBorder="1" applyAlignment="1">
      <alignment horizontal="center" vertical="center"/>
    </xf>
    <xf numFmtId="0" fontId="3" fillId="28" borderId="9" xfId="0" applyFont="1" applyFill="1" applyBorder="1" applyAlignment="1">
      <alignment horizontal="center" vertical="center"/>
    </xf>
    <xf numFmtId="0" fontId="3" fillId="17" borderId="7" xfId="0" applyFont="1" applyFill="1" applyBorder="1" applyAlignment="1">
      <alignment horizontal="center" vertical="center"/>
    </xf>
    <xf numFmtId="0" fontId="3" fillId="17" borderId="8" xfId="0" applyFont="1" applyFill="1" applyBorder="1" applyAlignment="1">
      <alignment horizontal="center" vertical="center"/>
    </xf>
    <xf numFmtId="0" fontId="3" fillId="17" borderId="9" xfId="0" applyFont="1" applyFill="1" applyBorder="1" applyAlignment="1">
      <alignment horizontal="center" vertical="center"/>
    </xf>
    <xf numFmtId="0" fontId="3" fillId="26" borderId="7" xfId="0" applyFont="1" applyFill="1" applyBorder="1" applyAlignment="1">
      <alignment horizontal="center" vertical="center"/>
    </xf>
    <xf numFmtId="0" fontId="3" fillId="26" borderId="8" xfId="0" applyFont="1" applyFill="1" applyBorder="1" applyAlignment="1">
      <alignment horizontal="center" vertical="center"/>
    </xf>
    <xf numFmtId="0" fontId="3" fillId="26" borderId="9" xfId="0" applyFont="1" applyFill="1" applyBorder="1" applyAlignment="1">
      <alignment horizontal="center" vertical="center"/>
    </xf>
    <xf numFmtId="0" fontId="3" fillId="23" borderId="7" xfId="0" applyFont="1" applyFill="1" applyBorder="1" applyAlignment="1">
      <alignment horizontal="center" vertical="center"/>
    </xf>
    <xf numFmtId="0" fontId="3" fillId="23" borderId="8" xfId="0" applyFont="1" applyFill="1" applyBorder="1" applyAlignment="1">
      <alignment horizontal="center" vertical="center"/>
    </xf>
    <xf numFmtId="0" fontId="3" fillId="23" borderId="9" xfId="0" applyFont="1" applyFill="1" applyBorder="1" applyAlignment="1">
      <alignment horizontal="center" vertical="center"/>
    </xf>
    <xf numFmtId="0" fontId="3" fillId="13" borderId="7" xfId="0" applyFont="1" applyFill="1" applyBorder="1" applyAlignment="1">
      <alignment horizontal="center" vertical="center"/>
    </xf>
    <xf numFmtId="0" fontId="3" fillId="13" borderId="8" xfId="0" applyFont="1" applyFill="1" applyBorder="1" applyAlignment="1">
      <alignment horizontal="center" vertical="center"/>
    </xf>
    <xf numFmtId="0" fontId="3" fillId="13" borderId="9" xfId="0" applyFont="1" applyFill="1" applyBorder="1" applyAlignment="1">
      <alignment horizontal="center" vertical="center"/>
    </xf>
    <xf numFmtId="0" fontId="3" fillId="29" borderId="7" xfId="0" applyFont="1" applyFill="1" applyBorder="1" applyAlignment="1">
      <alignment horizontal="center" vertical="center"/>
    </xf>
    <xf numFmtId="0" fontId="3" fillId="29" borderId="8" xfId="0" applyFont="1" applyFill="1" applyBorder="1" applyAlignment="1">
      <alignment horizontal="center" vertical="center"/>
    </xf>
    <xf numFmtId="0" fontId="3" fillId="29" borderId="9" xfId="0" applyFont="1" applyFill="1" applyBorder="1" applyAlignment="1">
      <alignment horizontal="center" vertical="center"/>
    </xf>
    <xf numFmtId="0" fontId="3" fillId="18" borderId="7" xfId="0" applyFont="1" applyFill="1" applyBorder="1" applyAlignment="1">
      <alignment horizontal="center" vertical="center"/>
    </xf>
    <xf numFmtId="0" fontId="3" fillId="18" borderId="8" xfId="0" applyFont="1" applyFill="1" applyBorder="1" applyAlignment="1">
      <alignment horizontal="center" vertical="center"/>
    </xf>
    <xf numFmtId="0" fontId="3" fillId="18" borderId="9" xfId="0" applyFont="1" applyFill="1" applyBorder="1" applyAlignment="1">
      <alignment horizontal="center" vertical="center"/>
    </xf>
    <xf numFmtId="0" fontId="3" fillId="24" borderId="7" xfId="0" applyFont="1" applyFill="1" applyBorder="1" applyAlignment="1">
      <alignment horizontal="center" vertical="center"/>
    </xf>
    <xf numFmtId="0" fontId="3" fillId="24" borderId="8" xfId="0" applyFont="1" applyFill="1" applyBorder="1" applyAlignment="1">
      <alignment horizontal="center" vertical="center"/>
    </xf>
    <xf numFmtId="0" fontId="3" fillId="24" borderId="9" xfId="0" applyFont="1" applyFill="1" applyBorder="1" applyAlignment="1">
      <alignment horizontal="center" vertical="center"/>
    </xf>
    <xf numFmtId="0" fontId="3" fillId="19" borderId="8" xfId="0" applyFont="1" applyFill="1" applyBorder="1" applyAlignment="1">
      <alignment horizontal="center" vertical="center" wrapText="1"/>
    </xf>
    <xf numFmtId="0" fontId="3" fillId="27" borderId="7" xfId="0" applyFont="1" applyFill="1" applyBorder="1" applyAlignment="1">
      <alignment horizontal="center" vertical="center"/>
    </xf>
    <xf numFmtId="0" fontId="3" fillId="27" borderId="8" xfId="0" applyFont="1" applyFill="1" applyBorder="1" applyAlignment="1">
      <alignment horizontal="center" vertical="center"/>
    </xf>
    <xf numFmtId="0" fontId="3" fillId="27" borderId="9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3" fillId="11" borderId="8" xfId="0" applyFont="1" applyFill="1" applyBorder="1" applyAlignment="1">
      <alignment horizontal="center" vertical="center"/>
    </xf>
    <xf numFmtId="0" fontId="3" fillId="11" borderId="9" xfId="0" applyFont="1" applyFill="1" applyBorder="1" applyAlignment="1">
      <alignment horizontal="center" vertical="center"/>
    </xf>
    <xf numFmtId="0" fontId="3" fillId="16" borderId="7" xfId="0" applyFont="1" applyFill="1" applyBorder="1" applyAlignment="1">
      <alignment horizontal="center" vertical="center"/>
    </xf>
    <xf numFmtId="0" fontId="3" fillId="16" borderId="8" xfId="0" applyFont="1" applyFill="1" applyBorder="1" applyAlignment="1">
      <alignment horizontal="center" vertical="center"/>
    </xf>
    <xf numFmtId="0" fontId="3" fillId="16" borderId="9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 wrapText="1"/>
    </xf>
    <xf numFmtId="0" fontId="3" fillId="7" borderId="8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20" borderId="8" xfId="0" applyFont="1" applyFill="1" applyBorder="1" applyAlignment="1">
      <alignment horizontal="center" vertical="center" wrapText="1"/>
    </xf>
    <xf numFmtId="0" fontId="3" fillId="13" borderId="8" xfId="0" applyFont="1" applyFill="1" applyBorder="1" applyAlignment="1">
      <alignment horizontal="center" vertical="center" wrapText="1"/>
    </xf>
    <xf numFmtId="0" fontId="3" fillId="12" borderId="8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  <xf numFmtId="0" fontId="3" fillId="15" borderId="8" xfId="0" applyFont="1" applyFill="1" applyBorder="1" applyAlignment="1">
      <alignment horizontal="center" vertical="center" wrapText="1"/>
    </xf>
    <xf numFmtId="0" fontId="3" fillId="13" borderId="7" xfId="0" applyFont="1" applyFill="1" applyBorder="1" applyAlignment="1">
      <alignment horizontal="center" vertical="center" wrapText="1"/>
    </xf>
    <xf numFmtId="0" fontId="3" fillId="23" borderId="8" xfId="0" applyFont="1" applyFill="1" applyBorder="1" applyAlignment="1">
      <alignment horizontal="center" vertical="center" wrapText="1"/>
    </xf>
    <xf numFmtId="0" fontId="3" fillId="21" borderId="8" xfId="0" applyFont="1" applyFill="1" applyBorder="1" applyAlignment="1">
      <alignment horizontal="center" vertical="center" wrapText="1"/>
    </xf>
    <xf numFmtId="0" fontId="3" fillId="31" borderId="7" xfId="0" applyFont="1" applyFill="1" applyBorder="1" applyAlignment="1">
      <alignment horizontal="center" vertical="center"/>
    </xf>
    <xf numFmtId="0" fontId="3" fillId="31" borderId="8" xfId="0" applyFont="1" applyFill="1" applyBorder="1" applyAlignment="1">
      <alignment horizontal="center" vertical="center"/>
    </xf>
    <xf numFmtId="0" fontId="3" fillId="31" borderId="9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32" borderId="7" xfId="0" applyFont="1" applyFill="1" applyBorder="1" applyAlignment="1">
      <alignment horizontal="center" vertical="center"/>
    </xf>
    <xf numFmtId="0" fontId="3" fillId="32" borderId="8" xfId="0" applyFont="1" applyFill="1" applyBorder="1" applyAlignment="1">
      <alignment horizontal="center" vertical="center"/>
    </xf>
    <xf numFmtId="0" fontId="3" fillId="32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3" fillId="17" borderId="8" xfId="0" applyFont="1" applyFill="1" applyBorder="1" applyAlignment="1">
      <alignment horizontal="center" vertical="center" wrapText="1"/>
    </xf>
    <xf numFmtId="0" fontId="3" fillId="18" borderId="8" xfId="0" applyFont="1" applyFill="1" applyBorder="1" applyAlignment="1">
      <alignment horizontal="left" vertical="center" wrapText="1"/>
    </xf>
    <xf numFmtId="0" fontId="3" fillId="26" borderId="8" xfId="0" applyFont="1" applyFill="1" applyBorder="1" applyAlignment="1">
      <alignment horizontal="center" vertical="center" wrapText="1"/>
    </xf>
    <xf numFmtId="0" fontId="3" fillId="26" borderId="9" xfId="0" applyFont="1" applyFill="1" applyBorder="1" applyAlignment="1">
      <alignment horizontal="center" vertical="center" wrapText="1"/>
    </xf>
    <xf numFmtId="0" fontId="3" fillId="24" borderId="8" xfId="0" applyFont="1" applyFill="1" applyBorder="1" applyAlignment="1">
      <alignment horizontal="center" vertical="center" wrapText="1"/>
    </xf>
    <xf numFmtId="0" fontId="3" fillId="22" borderId="8" xfId="0" applyFont="1" applyFill="1" applyBorder="1" applyAlignment="1">
      <alignment horizontal="center" vertical="center" wrapText="1"/>
    </xf>
    <xf numFmtId="0" fontId="3" fillId="18" borderId="8" xfId="0" applyFont="1" applyFill="1" applyBorder="1" applyAlignment="1">
      <alignment horizontal="center" vertical="center" wrapText="1"/>
    </xf>
    <xf numFmtId="0" fontId="3" fillId="25" borderId="8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/>
    </xf>
    <xf numFmtId="0" fontId="3" fillId="12" borderId="7" xfId="0" applyFont="1" applyFill="1" applyBorder="1" applyAlignment="1">
      <alignment horizontal="center" vertical="center"/>
    </xf>
    <xf numFmtId="0" fontId="3" fillId="12" borderId="8" xfId="0" applyFont="1" applyFill="1" applyBorder="1" applyAlignment="1">
      <alignment horizontal="center" vertical="center"/>
    </xf>
    <xf numFmtId="0" fontId="3" fillId="30" borderId="7" xfId="0" applyFont="1" applyFill="1" applyBorder="1" applyAlignment="1">
      <alignment horizontal="center" vertical="center"/>
    </xf>
    <xf numFmtId="0" fontId="3" fillId="30" borderId="8" xfId="0" applyFont="1" applyFill="1" applyBorder="1" applyAlignment="1">
      <alignment horizontal="center" vertical="center"/>
    </xf>
    <xf numFmtId="0" fontId="3" fillId="30" borderId="9" xfId="0" applyFont="1" applyFill="1" applyBorder="1" applyAlignment="1">
      <alignment horizontal="center" vertical="center"/>
    </xf>
    <xf numFmtId="0" fontId="3" fillId="33" borderId="7" xfId="0" applyFont="1" applyFill="1" applyBorder="1" applyAlignment="1">
      <alignment horizontal="center" vertical="center"/>
    </xf>
    <xf numFmtId="0" fontId="3" fillId="33" borderId="8" xfId="0" applyFont="1" applyFill="1" applyBorder="1" applyAlignment="1">
      <alignment horizontal="center" vertical="center"/>
    </xf>
    <xf numFmtId="0" fontId="3" fillId="33" borderId="9" xfId="0" applyFont="1" applyFill="1" applyBorder="1" applyAlignment="1">
      <alignment horizontal="center" vertical="center"/>
    </xf>
  </cellXfs>
  <cellStyles count="1">
    <cellStyle name="Normal" xfId="0" builtinId="0"/>
  </cellStyles>
  <dxfs count="20"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theme="7" tint="-0.24994659260841701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theme="7" tint="-0.24994659260841701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theme="7" tint="-0.24994659260841701"/>
      </font>
    </dxf>
    <dxf>
      <font>
        <b/>
        <i val="0"/>
        <color rgb="FF0070C0"/>
      </font>
    </dxf>
    <dxf>
      <font>
        <b/>
        <i val="0"/>
        <color rgb="FF00B050"/>
      </font>
    </dxf>
    <dxf>
      <font>
        <b/>
        <i val="0"/>
        <color rgb="FFC00000"/>
      </font>
    </dxf>
    <dxf>
      <font>
        <b/>
        <i val="0"/>
        <color theme="9" tint="-0.24994659260841701"/>
      </font>
    </dxf>
    <dxf>
      <font>
        <b/>
        <i val="0"/>
        <color theme="7" tint="-0.24994659260841701"/>
      </font>
    </dxf>
    <dxf>
      <font>
        <b/>
        <i val="0"/>
        <color rgb="FF0070C0"/>
      </font>
    </dxf>
    <dxf>
      <font>
        <b/>
        <i val="0"/>
        <color rgb="FF00B050"/>
      </font>
    </dxf>
  </dxfs>
  <tableStyles count="0" defaultTableStyle="TableStyleMedium2" defaultPivotStyle="PivotStyleLight16"/>
  <colors>
    <mruColors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S18"/>
  <sheetViews>
    <sheetView tabSelected="1" topLeftCell="DW13" zoomScale="95" zoomScaleNormal="95" workbookViewId="0">
      <selection activeCell="GQ17" sqref="GQ17"/>
    </sheetView>
  </sheetViews>
  <sheetFormatPr defaultRowHeight="15" x14ac:dyDescent="0.25"/>
  <cols>
    <col min="1" max="1" width="19.140625" customWidth="1"/>
    <col min="2" max="10" width="9.140625" customWidth="1"/>
    <col min="16" max="16" width="14.140625" customWidth="1"/>
    <col min="17" max="17" width="8.85546875" customWidth="1"/>
    <col min="18" max="20" width="8.140625" customWidth="1"/>
    <col min="21" max="24" width="14.140625" customWidth="1"/>
    <col min="39" max="39" width="10.85546875" bestFit="1" customWidth="1"/>
    <col min="44" max="44" width="12.140625" customWidth="1"/>
    <col min="223" max="223" width="10.28515625" customWidth="1"/>
    <col min="227" max="227" width="14.85546875" customWidth="1"/>
  </cols>
  <sheetData>
    <row r="1" spans="1:227" x14ac:dyDescent="0.2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5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7"/>
      <c r="CK1" s="7"/>
      <c r="CL1" s="7"/>
      <c r="CM1" s="7"/>
      <c r="CN1" s="7"/>
      <c r="CO1" s="7"/>
      <c r="CP1" s="7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C1" s="11"/>
      <c r="DD1" s="11"/>
      <c r="DE1" s="11"/>
      <c r="DF1" s="11"/>
      <c r="DG1" s="11"/>
      <c r="DH1" s="11"/>
      <c r="DI1" s="10"/>
      <c r="DJ1" s="10"/>
      <c r="DK1" s="10"/>
      <c r="DL1" s="10"/>
      <c r="DM1" s="10"/>
      <c r="DN1" s="10"/>
      <c r="DO1" s="10"/>
      <c r="DP1" s="10"/>
      <c r="DQ1" s="10"/>
      <c r="DR1" s="10"/>
      <c r="DS1" s="10"/>
      <c r="DT1" s="10"/>
      <c r="DU1" s="10"/>
      <c r="DV1" s="10"/>
      <c r="DW1" s="10"/>
      <c r="DX1" s="10"/>
      <c r="DY1" s="10"/>
      <c r="DZ1" s="10"/>
      <c r="EA1" s="10"/>
      <c r="EB1" s="10"/>
      <c r="EC1" s="10"/>
      <c r="ED1" s="10"/>
      <c r="EE1" s="10"/>
      <c r="EF1" s="10"/>
      <c r="EG1" s="10"/>
      <c r="EH1" s="10"/>
      <c r="EI1" s="10"/>
      <c r="EJ1" s="10"/>
      <c r="EK1" s="10"/>
      <c r="EL1" s="10"/>
      <c r="EM1" s="10"/>
      <c r="EN1" s="10"/>
      <c r="EO1" s="10"/>
      <c r="EP1" s="10"/>
      <c r="EQ1" s="10"/>
      <c r="ER1" s="10"/>
      <c r="ES1" s="10"/>
      <c r="ET1" s="10"/>
      <c r="EU1" s="10"/>
      <c r="EV1" s="10"/>
      <c r="EW1" s="10"/>
      <c r="EX1" s="10"/>
    </row>
    <row r="2" spans="1:227" x14ac:dyDescent="0.25">
      <c r="A2" s="179" t="s">
        <v>240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  <c r="AT2" s="180"/>
      <c r="AU2" s="180"/>
      <c r="AV2" s="180"/>
      <c r="AW2" s="180"/>
      <c r="AX2" s="180"/>
      <c r="AY2" s="180"/>
      <c r="AZ2" s="180"/>
      <c r="BA2" s="180"/>
      <c r="BB2" s="180"/>
      <c r="BC2" s="180"/>
      <c r="BD2" s="180"/>
      <c r="BE2" s="180"/>
      <c r="BF2" s="180"/>
      <c r="BG2" s="180"/>
      <c r="BH2" s="180"/>
      <c r="BI2" s="180"/>
      <c r="BJ2" s="180"/>
      <c r="BK2" s="180"/>
      <c r="BL2" s="180"/>
      <c r="BM2" s="180"/>
      <c r="BN2" s="180"/>
      <c r="BO2" s="180"/>
      <c r="BP2" s="180"/>
      <c r="BQ2" s="180"/>
      <c r="BR2" s="180"/>
      <c r="BS2" s="180"/>
      <c r="BT2" s="180"/>
      <c r="BU2" s="180"/>
      <c r="BV2" s="180"/>
      <c r="BW2" s="180"/>
      <c r="BX2" s="180"/>
      <c r="BY2" s="180"/>
      <c r="BZ2" s="180"/>
      <c r="CA2" s="180"/>
      <c r="CB2" s="180"/>
      <c r="CC2" s="180"/>
      <c r="CD2" s="180"/>
      <c r="CE2" s="180"/>
      <c r="CF2" s="180"/>
      <c r="CG2" s="180"/>
      <c r="CH2" s="180"/>
      <c r="CI2" s="180"/>
      <c r="CJ2" s="180"/>
      <c r="CK2" s="180"/>
      <c r="CL2" s="180"/>
      <c r="CM2" s="180"/>
      <c r="CN2" s="180"/>
      <c r="CO2" s="180"/>
      <c r="CP2" s="180"/>
      <c r="CQ2" s="180"/>
      <c r="CR2" s="180"/>
      <c r="CS2" s="180"/>
      <c r="CT2" s="180"/>
      <c r="CU2" s="180"/>
      <c r="CV2" s="180"/>
      <c r="CW2" s="180"/>
      <c r="CX2" s="180"/>
      <c r="CY2" s="180"/>
      <c r="CZ2" s="180"/>
      <c r="DA2" s="180"/>
      <c r="DB2" s="180"/>
      <c r="DC2" s="180"/>
      <c r="DD2" s="180"/>
      <c r="DE2" s="180"/>
      <c r="DF2" s="180"/>
      <c r="DG2" s="180"/>
      <c r="DH2" s="180"/>
      <c r="DI2" s="180"/>
      <c r="DJ2" s="180"/>
      <c r="DK2" s="180"/>
      <c r="DL2" s="180"/>
      <c r="DM2" s="180"/>
      <c r="DN2" s="180"/>
      <c r="DO2" s="180"/>
      <c r="DP2" s="180"/>
      <c r="DQ2" s="180"/>
      <c r="DR2" s="180"/>
      <c r="DS2" s="180"/>
      <c r="DT2" s="180"/>
      <c r="DU2" s="180"/>
      <c r="DV2" s="180"/>
      <c r="DW2" s="180"/>
      <c r="DX2" s="180"/>
      <c r="DY2" s="180"/>
      <c r="DZ2" s="180"/>
      <c r="EA2" s="180"/>
      <c r="EB2" s="180"/>
      <c r="EC2" s="180"/>
      <c r="ED2" s="180"/>
      <c r="EE2" s="180"/>
      <c r="EF2" s="180"/>
      <c r="EG2" s="180"/>
      <c r="EH2" s="180"/>
      <c r="EI2" s="180"/>
      <c r="EJ2" s="180"/>
      <c r="EK2" s="180"/>
      <c r="EL2" s="180"/>
      <c r="EM2" s="180"/>
      <c r="EN2" s="180"/>
      <c r="EO2" s="180"/>
      <c r="EP2" s="180"/>
      <c r="EQ2" s="180"/>
      <c r="ER2" s="180"/>
      <c r="ES2" s="180"/>
      <c r="ET2" s="180"/>
      <c r="EU2" s="180"/>
      <c r="EV2" s="180"/>
      <c r="EW2" s="180"/>
      <c r="EX2" s="180"/>
      <c r="EY2" s="180"/>
      <c r="EZ2" s="180"/>
      <c r="FA2" s="180"/>
      <c r="FB2" s="180"/>
      <c r="FC2" s="180"/>
      <c r="FD2" s="180"/>
      <c r="FE2" s="180"/>
      <c r="FF2" s="180"/>
      <c r="FG2" s="180"/>
      <c r="FH2" s="180"/>
      <c r="FI2" s="180"/>
      <c r="FJ2" s="180"/>
      <c r="FK2" s="180"/>
      <c r="FL2" s="180"/>
      <c r="FM2" s="180"/>
      <c r="FN2" s="180"/>
      <c r="FO2" s="180"/>
      <c r="FP2" s="180"/>
      <c r="FQ2" s="180"/>
      <c r="FR2" s="180"/>
      <c r="FS2" s="180"/>
      <c r="FT2" s="180"/>
      <c r="FU2" s="180"/>
      <c r="FV2" s="180"/>
      <c r="FW2" s="180"/>
      <c r="FX2" s="180"/>
      <c r="FY2" s="180"/>
      <c r="FZ2" s="180"/>
      <c r="GA2" s="180"/>
      <c r="GB2" s="180"/>
      <c r="GC2" s="180"/>
      <c r="GD2" s="180"/>
      <c r="GE2" s="180"/>
      <c r="GF2" s="180"/>
      <c r="GG2" s="180"/>
      <c r="GH2" s="180"/>
      <c r="GI2" s="180"/>
      <c r="GJ2" s="180"/>
      <c r="GK2" s="180"/>
      <c r="GL2" s="180"/>
      <c r="GM2" s="180"/>
      <c r="GN2" s="180"/>
      <c r="GO2" s="180"/>
      <c r="GP2" s="180"/>
      <c r="GQ2" s="180"/>
      <c r="GR2" s="180"/>
      <c r="GS2" s="180"/>
      <c r="GT2" s="180"/>
      <c r="GU2" s="180"/>
      <c r="GV2" s="180"/>
      <c r="GW2" s="180"/>
      <c r="GX2" s="180"/>
      <c r="GY2" s="180"/>
      <c r="GZ2" s="180"/>
      <c r="HA2" s="180"/>
      <c r="HB2" s="180"/>
      <c r="HC2" s="180"/>
      <c r="HD2" s="180"/>
      <c r="HE2" s="180"/>
      <c r="HF2" s="180"/>
      <c r="HG2" s="180"/>
      <c r="HH2" s="180"/>
      <c r="HI2" s="180"/>
      <c r="HJ2" s="180"/>
      <c r="HK2" s="180"/>
      <c r="HL2" s="180"/>
      <c r="HM2" s="180"/>
      <c r="HN2" s="180"/>
      <c r="HO2" s="180"/>
      <c r="HP2" s="180"/>
      <c r="HQ2" s="180"/>
      <c r="HR2" s="180"/>
      <c r="HS2" s="180"/>
    </row>
    <row r="3" spans="1:227" x14ac:dyDescent="0.25">
      <c r="A3" s="180"/>
      <c r="B3" s="180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0"/>
      <c r="BA3" s="180"/>
      <c r="BB3" s="180"/>
      <c r="BC3" s="180"/>
      <c r="BD3" s="180"/>
      <c r="BE3" s="180"/>
      <c r="BF3" s="180"/>
      <c r="BG3" s="180"/>
      <c r="BH3" s="180"/>
      <c r="BI3" s="180"/>
      <c r="BJ3" s="180"/>
      <c r="BK3" s="180"/>
      <c r="BL3" s="180"/>
      <c r="BM3" s="180"/>
      <c r="BN3" s="180"/>
      <c r="BO3" s="180"/>
      <c r="BP3" s="180"/>
      <c r="BQ3" s="180"/>
      <c r="BR3" s="180"/>
      <c r="BS3" s="180"/>
      <c r="BT3" s="180"/>
      <c r="BU3" s="180"/>
      <c r="BV3" s="180"/>
      <c r="BW3" s="180"/>
      <c r="BX3" s="180"/>
      <c r="BY3" s="180"/>
      <c r="BZ3" s="180"/>
      <c r="CA3" s="180"/>
      <c r="CB3" s="180"/>
      <c r="CC3" s="180"/>
      <c r="CD3" s="180"/>
      <c r="CE3" s="180"/>
      <c r="CF3" s="180"/>
      <c r="CG3" s="180"/>
      <c r="CH3" s="180"/>
      <c r="CI3" s="180"/>
      <c r="CJ3" s="180"/>
      <c r="CK3" s="180"/>
      <c r="CL3" s="180"/>
      <c r="CM3" s="180"/>
      <c r="CN3" s="180"/>
      <c r="CO3" s="180"/>
      <c r="CP3" s="180"/>
      <c r="CQ3" s="180"/>
      <c r="CR3" s="180"/>
      <c r="CS3" s="180"/>
      <c r="CT3" s="180"/>
      <c r="CU3" s="180"/>
      <c r="CV3" s="180"/>
      <c r="CW3" s="180"/>
      <c r="CX3" s="180"/>
      <c r="CY3" s="180"/>
      <c r="CZ3" s="180"/>
      <c r="DA3" s="180"/>
      <c r="DB3" s="180"/>
      <c r="DC3" s="180"/>
      <c r="DD3" s="180"/>
      <c r="DE3" s="180"/>
      <c r="DF3" s="180"/>
      <c r="DG3" s="180"/>
      <c r="DH3" s="180"/>
      <c r="DI3" s="180"/>
      <c r="DJ3" s="180"/>
      <c r="DK3" s="180"/>
      <c r="DL3" s="180"/>
      <c r="DM3" s="180"/>
      <c r="DN3" s="180"/>
      <c r="DO3" s="180"/>
      <c r="DP3" s="180"/>
      <c r="DQ3" s="180"/>
      <c r="DR3" s="180"/>
      <c r="DS3" s="180"/>
      <c r="DT3" s="180"/>
      <c r="DU3" s="180"/>
      <c r="DV3" s="180"/>
      <c r="DW3" s="180"/>
      <c r="DX3" s="180"/>
      <c r="DY3" s="180"/>
      <c r="DZ3" s="180"/>
      <c r="EA3" s="180"/>
      <c r="EB3" s="180"/>
      <c r="EC3" s="180"/>
      <c r="ED3" s="180"/>
      <c r="EE3" s="180"/>
      <c r="EF3" s="180"/>
      <c r="EG3" s="180"/>
      <c r="EH3" s="180"/>
      <c r="EI3" s="180"/>
      <c r="EJ3" s="180"/>
      <c r="EK3" s="180"/>
      <c r="EL3" s="180"/>
      <c r="EM3" s="180"/>
      <c r="EN3" s="180"/>
      <c r="EO3" s="180"/>
      <c r="EP3" s="180"/>
      <c r="EQ3" s="180"/>
      <c r="ER3" s="180"/>
      <c r="ES3" s="180"/>
      <c r="ET3" s="180"/>
      <c r="EU3" s="180"/>
      <c r="EV3" s="180"/>
      <c r="EW3" s="180"/>
      <c r="EX3" s="180"/>
      <c r="EY3" s="180"/>
      <c r="EZ3" s="180"/>
      <c r="FA3" s="180"/>
      <c r="FB3" s="180"/>
      <c r="FC3" s="180"/>
      <c r="FD3" s="180"/>
      <c r="FE3" s="180"/>
      <c r="FF3" s="180"/>
      <c r="FG3" s="180"/>
      <c r="FH3" s="180"/>
      <c r="FI3" s="180"/>
      <c r="FJ3" s="180"/>
      <c r="FK3" s="180"/>
      <c r="FL3" s="180"/>
      <c r="FM3" s="180"/>
      <c r="FN3" s="180"/>
      <c r="FO3" s="180"/>
      <c r="FP3" s="180"/>
      <c r="FQ3" s="180"/>
      <c r="FR3" s="180"/>
      <c r="FS3" s="180"/>
      <c r="FT3" s="180"/>
      <c r="FU3" s="180"/>
      <c r="FV3" s="180"/>
      <c r="FW3" s="180"/>
      <c r="FX3" s="180"/>
      <c r="FY3" s="180"/>
      <c r="FZ3" s="180"/>
      <c r="GA3" s="180"/>
      <c r="GB3" s="180"/>
      <c r="GC3" s="180"/>
      <c r="GD3" s="180"/>
      <c r="GE3" s="180"/>
      <c r="GF3" s="180"/>
      <c r="GG3" s="180"/>
      <c r="GH3" s="180"/>
      <c r="GI3" s="180"/>
      <c r="GJ3" s="180"/>
      <c r="GK3" s="180"/>
      <c r="GL3" s="180"/>
      <c r="GM3" s="180"/>
      <c r="GN3" s="180"/>
      <c r="GO3" s="180"/>
      <c r="GP3" s="180"/>
      <c r="GQ3" s="180"/>
      <c r="GR3" s="180"/>
      <c r="GS3" s="180"/>
      <c r="GT3" s="180"/>
      <c r="GU3" s="180"/>
      <c r="GV3" s="180"/>
      <c r="GW3" s="180"/>
      <c r="GX3" s="180"/>
      <c r="GY3" s="180"/>
      <c r="GZ3" s="180"/>
      <c r="HA3" s="180"/>
      <c r="HB3" s="180"/>
      <c r="HC3" s="180"/>
      <c r="HD3" s="180"/>
      <c r="HE3" s="180"/>
      <c r="HF3" s="180"/>
      <c r="HG3" s="180"/>
      <c r="HH3" s="180"/>
      <c r="HI3" s="180"/>
      <c r="HJ3" s="180"/>
      <c r="HK3" s="180"/>
      <c r="HL3" s="180"/>
      <c r="HM3" s="180"/>
      <c r="HN3" s="180"/>
      <c r="HO3" s="180"/>
      <c r="HP3" s="180"/>
      <c r="HQ3" s="180"/>
      <c r="HR3" s="180"/>
      <c r="HS3" s="180"/>
    </row>
    <row r="4" spans="1:227" x14ac:dyDescent="0.25">
      <c r="A4" s="180"/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  <c r="Q4" s="180"/>
      <c r="R4" s="180"/>
      <c r="S4" s="180"/>
      <c r="T4" s="180"/>
      <c r="U4" s="180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  <c r="BA4" s="180"/>
      <c r="BB4" s="180"/>
      <c r="BC4" s="180"/>
      <c r="BD4" s="180"/>
      <c r="BE4" s="180"/>
      <c r="BF4" s="180"/>
      <c r="BG4" s="180"/>
      <c r="BH4" s="180"/>
      <c r="BI4" s="180"/>
      <c r="BJ4" s="180"/>
      <c r="BK4" s="180"/>
      <c r="BL4" s="180"/>
      <c r="BM4" s="180"/>
      <c r="BN4" s="180"/>
      <c r="BO4" s="180"/>
      <c r="BP4" s="180"/>
      <c r="BQ4" s="180"/>
      <c r="BR4" s="180"/>
      <c r="BS4" s="180"/>
      <c r="BT4" s="180"/>
      <c r="BU4" s="180"/>
      <c r="BV4" s="180"/>
      <c r="BW4" s="180"/>
      <c r="BX4" s="180"/>
      <c r="BY4" s="180"/>
      <c r="BZ4" s="180"/>
      <c r="CA4" s="180"/>
      <c r="CB4" s="180"/>
      <c r="CC4" s="180"/>
      <c r="CD4" s="180"/>
      <c r="CE4" s="180"/>
      <c r="CF4" s="180"/>
      <c r="CG4" s="180"/>
      <c r="CH4" s="180"/>
      <c r="CI4" s="180"/>
      <c r="CJ4" s="180"/>
      <c r="CK4" s="180"/>
      <c r="CL4" s="180"/>
      <c r="CM4" s="180"/>
      <c r="CN4" s="180"/>
      <c r="CO4" s="180"/>
      <c r="CP4" s="180"/>
      <c r="CQ4" s="180"/>
      <c r="CR4" s="180"/>
      <c r="CS4" s="180"/>
      <c r="CT4" s="180"/>
      <c r="CU4" s="180"/>
      <c r="CV4" s="180"/>
      <c r="CW4" s="180"/>
      <c r="CX4" s="180"/>
      <c r="CY4" s="180"/>
      <c r="CZ4" s="180"/>
      <c r="DA4" s="180"/>
      <c r="DB4" s="180"/>
      <c r="DC4" s="180"/>
      <c r="DD4" s="180"/>
      <c r="DE4" s="180"/>
      <c r="DF4" s="180"/>
      <c r="DG4" s="180"/>
      <c r="DH4" s="180"/>
      <c r="DI4" s="180"/>
      <c r="DJ4" s="180"/>
      <c r="DK4" s="180"/>
      <c r="DL4" s="180"/>
      <c r="DM4" s="180"/>
      <c r="DN4" s="180"/>
      <c r="DO4" s="180"/>
      <c r="DP4" s="180"/>
      <c r="DQ4" s="180"/>
      <c r="DR4" s="180"/>
      <c r="DS4" s="180"/>
      <c r="DT4" s="180"/>
      <c r="DU4" s="180"/>
      <c r="DV4" s="180"/>
      <c r="DW4" s="180"/>
      <c r="DX4" s="180"/>
      <c r="DY4" s="180"/>
      <c r="DZ4" s="180"/>
      <c r="EA4" s="180"/>
      <c r="EB4" s="180"/>
      <c r="EC4" s="180"/>
      <c r="ED4" s="180"/>
      <c r="EE4" s="180"/>
      <c r="EF4" s="180"/>
      <c r="EG4" s="180"/>
      <c r="EH4" s="180"/>
      <c r="EI4" s="180"/>
      <c r="EJ4" s="180"/>
      <c r="EK4" s="180"/>
      <c r="EL4" s="180"/>
      <c r="EM4" s="180"/>
      <c r="EN4" s="180"/>
      <c r="EO4" s="180"/>
      <c r="EP4" s="180"/>
      <c r="EQ4" s="180"/>
      <c r="ER4" s="180"/>
      <c r="ES4" s="180"/>
      <c r="ET4" s="180"/>
      <c r="EU4" s="180"/>
      <c r="EV4" s="180"/>
      <c r="EW4" s="180"/>
      <c r="EX4" s="180"/>
      <c r="EY4" s="180"/>
      <c r="EZ4" s="180"/>
      <c r="FA4" s="180"/>
      <c r="FB4" s="180"/>
      <c r="FC4" s="180"/>
      <c r="FD4" s="180"/>
      <c r="FE4" s="180"/>
      <c r="FF4" s="180"/>
      <c r="FG4" s="180"/>
      <c r="FH4" s="180"/>
      <c r="FI4" s="180"/>
      <c r="FJ4" s="180"/>
      <c r="FK4" s="180"/>
      <c r="FL4" s="180"/>
      <c r="FM4" s="180"/>
      <c r="FN4" s="180"/>
      <c r="FO4" s="180"/>
      <c r="FP4" s="180"/>
      <c r="FQ4" s="180"/>
      <c r="FR4" s="180"/>
      <c r="FS4" s="180"/>
      <c r="FT4" s="180"/>
      <c r="FU4" s="180"/>
      <c r="FV4" s="180"/>
      <c r="FW4" s="180"/>
      <c r="FX4" s="180"/>
      <c r="FY4" s="180"/>
      <c r="FZ4" s="180"/>
      <c r="GA4" s="180"/>
      <c r="GB4" s="180"/>
      <c r="GC4" s="180"/>
      <c r="GD4" s="180"/>
      <c r="GE4" s="180"/>
      <c r="GF4" s="180"/>
      <c r="GG4" s="180"/>
      <c r="GH4" s="180"/>
      <c r="GI4" s="180"/>
      <c r="GJ4" s="180"/>
      <c r="GK4" s="180"/>
      <c r="GL4" s="180"/>
      <c r="GM4" s="180"/>
      <c r="GN4" s="180"/>
      <c r="GO4" s="180"/>
      <c r="GP4" s="180"/>
      <c r="GQ4" s="180"/>
      <c r="GR4" s="180"/>
      <c r="GS4" s="180"/>
      <c r="GT4" s="180"/>
      <c r="GU4" s="180"/>
      <c r="GV4" s="180"/>
      <c r="GW4" s="180"/>
      <c r="GX4" s="180"/>
      <c r="GY4" s="180"/>
      <c r="GZ4" s="180"/>
      <c r="HA4" s="180"/>
      <c r="HB4" s="180"/>
      <c r="HC4" s="180"/>
      <c r="HD4" s="180"/>
      <c r="HE4" s="180"/>
      <c r="HF4" s="180"/>
      <c r="HG4" s="180"/>
      <c r="HH4" s="180"/>
      <c r="HI4" s="180"/>
      <c r="HJ4" s="180"/>
      <c r="HK4" s="180"/>
      <c r="HL4" s="180"/>
      <c r="HM4" s="180"/>
      <c r="HN4" s="180"/>
      <c r="HO4" s="180"/>
      <c r="HP4" s="180"/>
      <c r="HQ4" s="180"/>
      <c r="HR4" s="180"/>
      <c r="HS4" s="180"/>
    </row>
    <row r="5" spans="1:227" x14ac:dyDescent="0.25">
      <c r="A5" s="180"/>
      <c r="B5" s="180"/>
      <c r="C5" s="180"/>
      <c r="D5" s="180"/>
      <c r="E5" s="180"/>
      <c r="F5" s="180"/>
      <c r="G5" s="180"/>
      <c r="H5" s="180"/>
      <c r="I5" s="180"/>
      <c r="J5" s="180"/>
      <c r="K5" s="180"/>
      <c r="L5" s="180"/>
      <c r="M5" s="180"/>
      <c r="N5" s="180"/>
      <c r="O5" s="180"/>
      <c r="P5" s="180"/>
      <c r="Q5" s="180"/>
      <c r="R5" s="180"/>
      <c r="S5" s="180"/>
      <c r="T5" s="180"/>
      <c r="U5" s="180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  <c r="AT5" s="180"/>
      <c r="AU5" s="180"/>
      <c r="AV5" s="180"/>
      <c r="AW5" s="180"/>
      <c r="AX5" s="180"/>
      <c r="AY5" s="180"/>
      <c r="AZ5" s="180"/>
      <c r="BA5" s="180"/>
      <c r="BB5" s="180"/>
      <c r="BC5" s="180"/>
      <c r="BD5" s="180"/>
      <c r="BE5" s="180"/>
      <c r="BF5" s="180"/>
      <c r="BG5" s="180"/>
      <c r="BH5" s="180"/>
      <c r="BI5" s="180"/>
      <c r="BJ5" s="180"/>
      <c r="BK5" s="180"/>
      <c r="BL5" s="180"/>
      <c r="BM5" s="180"/>
      <c r="BN5" s="180"/>
      <c r="BO5" s="180"/>
      <c r="BP5" s="180"/>
      <c r="BQ5" s="180"/>
      <c r="BR5" s="180"/>
      <c r="BS5" s="180"/>
      <c r="BT5" s="180"/>
      <c r="BU5" s="180"/>
      <c r="BV5" s="180"/>
      <c r="BW5" s="180"/>
      <c r="BX5" s="180"/>
      <c r="BY5" s="180"/>
      <c r="BZ5" s="180"/>
      <c r="CA5" s="180"/>
      <c r="CB5" s="180"/>
      <c r="CC5" s="180"/>
      <c r="CD5" s="180"/>
      <c r="CE5" s="180"/>
      <c r="CF5" s="180"/>
      <c r="CG5" s="180"/>
      <c r="CH5" s="180"/>
      <c r="CI5" s="180"/>
      <c r="CJ5" s="180"/>
      <c r="CK5" s="180"/>
      <c r="CL5" s="180"/>
      <c r="CM5" s="180"/>
      <c r="CN5" s="180"/>
      <c r="CO5" s="180"/>
      <c r="CP5" s="180"/>
      <c r="CQ5" s="180"/>
      <c r="CR5" s="180"/>
      <c r="CS5" s="180"/>
      <c r="CT5" s="180"/>
      <c r="CU5" s="180"/>
      <c r="CV5" s="180"/>
      <c r="CW5" s="180"/>
      <c r="CX5" s="180"/>
      <c r="CY5" s="180"/>
      <c r="CZ5" s="180"/>
      <c r="DA5" s="180"/>
      <c r="DB5" s="180"/>
      <c r="DC5" s="180"/>
      <c r="DD5" s="180"/>
      <c r="DE5" s="180"/>
      <c r="DF5" s="180"/>
      <c r="DG5" s="180"/>
      <c r="DH5" s="180"/>
      <c r="DI5" s="180"/>
      <c r="DJ5" s="180"/>
      <c r="DK5" s="180"/>
      <c r="DL5" s="180"/>
      <c r="DM5" s="180"/>
      <c r="DN5" s="180"/>
      <c r="DO5" s="180"/>
      <c r="DP5" s="180"/>
      <c r="DQ5" s="180"/>
      <c r="DR5" s="180"/>
      <c r="DS5" s="180"/>
      <c r="DT5" s="180"/>
      <c r="DU5" s="180"/>
      <c r="DV5" s="180"/>
      <c r="DW5" s="180"/>
      <c r="DX5" s="180"/>
      <c r="DY5" s="180"/>
      <c r="DZ5" s="180"/>
      <c r="EA5" s="180"/>
      <c r="EB5" s="180"/>
      <c r="EC5" s="180"/>
      <c r="ED5" s="180"/>
      <c r="EE5" s="180"/>
      <c r="EF5" s="180"/>
      <c r="EG5" s="180"/>
      <c r="EH5" s="180"/>
      <c r="EI5" s="180"/>
      <c r="EJ5" s="180"/>
      <c r="EK5" s="180"/>
      <c r="EL5" s="180"/>
      <c r="EM5" s="180"/>
      <c r="EN5" s="180"/>
      <c r="EO5" s="180"/>
      <c r="EP5" s="180"/>
      <c r="EQ5" s="180"/>
      <c r="ER5" s="180"/>
      <c r="ES5" s="180"/>
      <c r="ET5" s="180"/>
      <c r="EU5" s="180"/>
      <c r="EV5" s="180"/>
      <c r="EW5" s="180"/>
      <c r="EX5" s="180"/>
      <c r="EY5" s="180"/>
      <c r="EZ5" s="180"/>
      <c r="FA5" s="180"/>
      <c r="FB5" s="180"/>
      <c r="FC5" s="180"/>
      <c r="FD5" s="180"/>
      <c r="FE5" s="180"/>
      <c r="FF5" s="180"/>
      <c r="FG5" s="180"/>
      <c r="FH5" s="180"/>
      <c r="FI5" s="180"/>
      <c r="FJ5" s="180"/>
      <c r="FK5" s="180"/>
      <c r="FL5" s="180"/>
      <c r="FM5" s="180"/>
      <c r="FN5" s="180"/>
      <c r="FO5" s="180"/>
      <c r="FP5" s="180"/>
      <c r="FQ5" s="180"/>
      <c r="FR5" s="180"/>
      <c r="FS5" s="180"/>
      <c r="FT5" s="180"/>
      <c r="FU5" s="180"/>
      <c r="FV5" s="180"/>
      <c r="FW5" s="180"/>
      <c r="FX5" s="180"/>
      <c r="FY5" s="180"/>
      <c r="FZ5" s="180"/>
      <c r="GA5" s="180"/>
      <c r="GB5" s="180"/>
      <c r="GC5" s="180"/>
      <c r="GD5" s="180"/>
      <c r="GE5" s="180"/>
      <c r="GF5" s="180"/>
      <c r="GG5" s="180"/>
      <c r="GH5" s="180"/>
      <c r="GI5" s="180"/>
      <c r="GJ5" s="180"/>
      <c r="GK5" s="180"/>
      <c r="GL5" s="180"/>
      <c r="GM5" s="180"/>
      <c r="GN5" s="180"/>
      <c r="GO5" s="180"/>
      <c r="GP5" s="180"/>
      <c r="GQ5" s="180"/>
      <c r="GR5" s="180"/>
      <c r="GS5" s="180"/>
      <c r="GT5" s="180"/>
      <c r="GU5" s="180"/>
      <c r="GV5" s="180"/>
      <c r="GW5" s="180"/>
      <c r="GX5" s="180"/>
      <c r="GY5" s="180"/>
      <c r="GZ5" s="180"/>
      <c r="HA5" s="180"/>
      <c r="HB5" s="180"/>
      <c r="HC5" s="180"/>
      <c r="HD5" s="180"/>
      <c r="HE5" s="180"/>
      <c r="HF5" s="180"/>
      <c r="HG5" s="180"/>
      <c r="HH5" s="180"/>
      <c r="HI5" s="180"/>
      <c r="HJ5" s="180"/>
      <c r="HK5" s="180"/>
      <c r="HL5" s="180"/>
      <c r="HM5" s="180"/>
      <c r="HN5" s="180"/>
      <c r="HO5" s="180"/>
      <c r="HP5" s="180"/>
      <c r="HQ5" s="180"/>
      <c r="HR5" s="180"/>
      <c r="HS5" s="180"/>
    </row>
    <row r="6" spans="1:227" x14ac:dyDescent="0.25">
      <c r="A6" s="180"/>
      <c r="B6" s="180"/>
      <c r="C6" s="180"/>
      <c r="D6" s="180"/>
      <c r="E6" s="180"/>
      <c r="F6" s="180"/>
      <c r="G6" s="180"/>
      <c r="H6" s="180"/>
      <c r="I6" s="180"/>
      <c r="J6" s="180"/>
      <c r="K6" s="180"/>
      <c r="L6" s="180"/>
      <c r="M6" s="180"/>
      <c r="N6" s="180"/>
      <c r="O6" s="180"/>
      <c r="P6" s="180"/>
      <c r="Q6" s="180"/>
      <c r="R6" s="180"/>
      <c r="S6" s="180"/>
      <c r="T6" s="180"/>
      <c r="U6" s="180"/>
      <c r="V6" s="180"/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  <c r="AT6" s="180"/>
      <c r="AU6" s="180"/>
      <c r="AV6" s="180"/>
      <c r="AW6" s="180"/>
      <c r="AX6" s="180"/>
      <c r="AY6" s="180"/>
      <c r="AZ6" s="180"/>
      <c r="BA6" s="180"/>
      <c r="BB6" s="180"/>
      <c r="BC6" s="180"/>
      <c r="BD6" s="180"/>
      <c r="BE6" s="180"/>
      <c r="BF6" s="180"/>
      <c r="BG6" s="180"/>
      <c r="BH6" s="180"/>
      <c r="BI6" s="180"/>
      <c r="BJ6" s="180"/>
      <c r="BK6" s="180"/>
      <c r="BL6" s="180"/>
      <c r="BM6" s="180"/>
      <c r="BN6" s="180"/>
      <c r="BO6" s="180"/>
      <c r="BP6" s="180"/>
      <c r="BQ6" s="180"/>
      <c r="BR6" s="180"/>
      <c r="BS6" s="180"/>
      <c r="BT6" s="180"/>
      <c r="BU6" s="180"/>
      <c r="BV6" s="180"/>
      <c r="BW6" s="180"/>
      <c r="BX6" s="180"/>
      <c r="BY6" s="180"/>
      <c r="BZ6" s="180"/>
      <c r="CA6" s="180"/>
      <c r="CB6" s="180"/>
      <c r="CC6" s="180"/>
      <c r="CD6" s="180"/>
      <c r="CE6" s="180"/>
      <c r="CF6" s="180"/>
      <c r="CG6" s="180"/>
      <c r="CH6" s="180"/>
      <c r="CI6" s="180"/>
      <c r="CJ6" s="180"/>
      <c r="CK6" s="180"/>
      <c r="CL6" s="180"/>
      <c r="CM6" s="180"/>
      <c r="CN6" s="180"/>
      <c r="CO6" s="180"/>
      <c r="CP6" s="180"/>
      <c r="CQ6" s="180"/>
      <c r="CR6" s="180"/>
      <c r="CS6" s="180"/>
      <c r="CT6" s="180"/>
      <c r="CU6" s="180"/>
      <c r="CV6" s="180"/>
      <c r="CW6" s="180"/>
      <c r="CX6" s="180"/>
      <c r="CY6" s="180"/>
      <c r="CZ6" s="180"/>
      <c r="DA6" s="180"/>
      <c r="DB6" s="180"/>
      <c r="DC6" s="180"/>
      <c r="DD6" s="180"/>
      <c r="DE6" s="180"/>
      <c r="DF6" s="180"/>
      <c r="DG6" s="180"/>
      <c r="DH6" s="180"/>
      <c r="DI6" s="180"/>
      <c r="DJ6" s="180"/>
      <c r="DK6" s="180"/>
      <c r="DL6" s="180"/>
      <c r="DM6" s="180"/>
      <c r="DN6" s="180"/>
      <c r="DO6" s="180"/>
      <c r="DP6" s="180"/>
      <c r="DQ6" s="180"/>
      <c r="DR6" s="180"/>
      <c r="DS6" s="180"/>
      <c r="DT6" s="180"/>
      <c r="DU6" s="180"/>
      <c r="DV6" s="180"/>
      <c r="DW6" s="180"/>
      <c r="DX6" s="180"/>
      <c r="DY6" s="180"/>
      <c r="DZ6" s="180"/>
      <c r="EA6" s="180"/>
      <c r="EB6" s="180"/>
      <c r="EC6" s="180"/>
      <c r="ED6" s="180"/>
      <c r="EE6" s="180"/>
      <c r="EF6" s="180"/>
      <c r="EG6" s="180"/>
      <c r="EH6" s="180"/>
      <c r="EI6" s="180"/>
      <c r="EJ6" s="180"/>
      <c r="EK6" s="180"/>
      <c r="EL6" s="180"/>
      <c r="EM6" s="180"/>
      <c r="EN6" s="180"/>
      <c r="EO6" s="180"/>
      <c r="EP6" s="180"/>
      <c r="EQ6" s="180"/>
      <c r="ER6" s="180"/>
      <c r="ES6" s="180"/>
      <c r="ET6" s="180"/>
      <c r="EU6" s="180"/>
      <c r="EV6" s="180"/>
      <c r="EW6" s="180"/>
      <c r="EX6" s="180"/>
      <c r="EY6" s="180"/>
      <c r="EZ6" s="180"/>
      <c r="FA6" s="180"/>
      <c r="FB6" s="180"/>
      <c r="FC6" s="180"/>
      <c r="FD6" s="180"/>
      <c r="FE6" s="180"/>
      <c r="FF6" s="180"/>
      <c r="FG6" s="180"/>
      <c r="FH6" s="180"/>
      <c r="FI6" s="180"/>
      <c r="FJ6" s="180"/>
      <c r="FK6" s="180"/>
      <c r="FL6" s="180"/>
      <c r="FM6" s="180"/>
      <c r="FN6" s="180"/>
      <c r="FO6" s="180"/>
      <c r="FP6" s="180"/>
      <c r="FQ6" s="180"/>
      <c r="FR6" s="180"/>
      <c r="FS6" s="180"/>
      <c r="FT6" s="180"/>
      <c r="FU6" s="180"/>
      <c r="FV6" s="180"/>
      <c r="FW6" s="180"/>
      <c r="FX6" s="180"/>
      <c r="FY6" s="180"/>
      <c r="FZ6" s="180"/>
      <c r="GA6" s="180"/>
      <c r="GB6" s="180"/>
      <c r="GC6" s="180"/>
      <c r="GD6" s="180"/>
      <c r="GE6" s="180"/>
      <c r="GF6" s="180"/>
      <c r="GG6" s="180"/>
      <c r="GH6" s="180"/>
      <c r="GI6" s="180"/>
      <c r="GJ6" s="180"/>
      <c r="GK6" s="180"/>
      <c r="GL6" s="180"/>
      <c r="GM6" s="180"/>
      <c r="GN6" s="180"/>
      <c r="GO6" s="180"/>
      <c r="GP6" s="180"/>
      <c r="GQ6" s="180"/>
      <c r="GR6" s="180"/>
      <c r="GS6" s="180"/>
      <c r="GT6" s="180"/>
      <c r="GU6" s="180"/>
      <c r="GV6" s="180"/>
      <c r="GW6" s="180"/>
      <c r="GX6" s="180"/>
      <c r="GY6" s="180"/>
      <c r="GZ6" s="180"/>
      <c r="HA6" s="180"/>
      <c r="HB6" s="180"/>
      <c r="HC6" s="180"/>
      <c r="HD6" s="180"/>
      <c r="HE6" s="180"/>
      <c r="HF6" s="180"/>
      <c r="HG6" s="180"/>
      <c r="HH6" s="180"/>
      <c r="HI6" s="180"/>
      <c r="HJ6" s="180"/>
      <c r="HK6" s="180"/>
      <c r="HL6" s="180"/>
      <c r="HM6" s="180"/>
      <c r="HN6" s="180"/>
      <c r="HO6" s="180"/>
      <c r="HP6" s="180"/>
      <c r="HQ6" s="180"/>
      <c r="HR6" s="180"/>
      <c r="HS6" s="180"/>
    </row>
    <row r="7" spans="1:227" x14ac:dyDescent="0.25">
      <c r="A7" s="180"/>
      <c r="B7" s="180"/>
      <c r="C7" s="180"/>
      <c r="D7" s="180"/>
      <c r="E7" s="180"/>
      <c r="F7" s="180"/>
      <c r="G7" s="180"/>
      <c r="H7" s="180"/>
      <c r="I7" s="180"/>
      <c r="J7" s="180"/>
      <c r="K7" s="180"/>
      <c r="L7" s="180"/>
      <c r="M7" s="180"/>
      <c r="N7" s="180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  <c r="AT7" s="180"/>
      <c r="AU7" s="180"/>
      <c r="AV7" s="180"/>
      <c r="AW7" s="180"/>
      <c r="AX7" s="180"/>
      <c r="AY7" s="180"/>
      <c r="AZ7" s="180"/>
      <c r="BA7" s="180"/>
      <c r="BB7" s="180"/>
      <c r="BC7" s="180"/>
      <c r="BD7" s="180"/>
      <c r="BE7" s="180"/>
      <c r="BF7" s="180"/>
      <c r="BG7" s="180"/>
      <c r="BH7" s="180"/>
      <c r="BI7" s="180"/>
      <c r="BJ7" s="180"/>
      <c r="BK7" s="180"/>
      <c r="BL7" s="180"/>
      <c r="BM7" s="180"/>
      <c r="BN7" s="180"/>
      <c r="BO7" s="180"/>
      <c r="BP7" s="180"/>
      <c r="BQ7" s="180"/>
      <c r="BR7" s="180"/>
      <c r="BS7" s="180"/>
      <c r="BT7" s="180"/>
      <c r="BU7" s="180"/>
      <c r="BV7" s="180"/>
      <c r="BW7" s="180"/>
      <c r="BX7" s="180"/>
      <c r="BY7" s="180"/>
      <c r="BZ7" s="180"/>
      <c r="CA7" s="180"/>
      <c r="CB7" s="180"/>
      <c r="CC7" s="180"/>
      <c r="CD7" s="180"/>
      <c r="CE7" s="180"/>
      <c r="CF7" s="180"/>
      <c r="CG7" s="180"/>
      <c r="CH7" s="180"/>
      <c r="CI7" s="180"/>
      <c r="CJ7" s="180"/>
      <c r="CK7" s="180"/>
      <c r="CL7" s="180"/>
      <c r="CM7" s="180"/>
      <c r="CN7" s="180"/>
      <c r="CO7" s="180"/>
      <c r="CP7" s="180"/>
      <c r="CQ7" s="180"/>
      <c r="CR7" s="180"/>
      <c r="CS7" s="180"/>
      <c r="CT7" s="180"/>
      <c r="CU7" s="180"/>
      <c r="CV7" s="180"/>
      <c r="CW7" s="180"/>
      <c r="CX7" s="180"/>
      <c r="CY7" s="180"/>
      <c r="CZ7" s="180"/>
      <c r="DA7" s="180"/>
      <c r="DB7" s="180"/>
      <c r="DC7" s="180"/>
      <c r="DD7" s="180"/>
      <c r="DE7" s="180"/>
      <c r="DF7" s="180"/>
      <c r="DG7" s="180"/>
      <c r="DH7" s="180"/>
      <c r="DI7" s="180"/>
      <c r="DJ7" s="180"/>
      <c r="DK7" s="180"/>
      <c r="DL7" s="180"/>
      <c r="DM7" s="180"/>
      <c r="DN7" s="180"/>
      <c r="DO7" s="180"/>
      <c r="DP7" s="180"/>
      <c r="DQ7" s="180"/>
      <c r="DR7" s="180"/>
      <c r="DS7" s="180"/>
      <c r="DT7" s="180"/>
      <c r="DU7" s="180"/>
      <c r="DV7" s="180"/>
      <c r="DW7" s="180"/>
      <c r="DX7" s="180"/>
      <c r="DY7" s="180"/>
      <c r="DZ7" s="180"/>
      <c r="EA7" s="180"/>
      <c r="EB7" s="180"/>
      <c r="EC7" s="180"/>
      <c r="ED7" s="180"/>
      <c r="EE7" s="180"/>
      <c r="EF7" s="180"/>
      <c r="EG7" s="180"/>
      <c r="EH7" s="180"/>
      <c r="EI7" s="180"/>
      <c r="EJ7" s="180"/>
      <c r="EK7" s="180"/>
      <c r="EL7" s="180"/>
      <c r="EM7" s="180"/>
      <c r="EN7" s="180"/>
      <c r="EO7" s="180"/>
      <c r="EP7" s="180"/>
      <c r="EQ7" s="180"/>
      <c r="ER7" s="180"/>
      <c r="ES7" s="180"/>
      <c r="ET7" s="180"/>
      <c r="EU7" s="180"/>
      <c r="EV7" s="180"/>
      <c r="EW7" s="180"/>
      <c r="EX7" s="180"/>
      <c r="EY7" s="180"/>
      <c r="EZ7" s="180"/>
      <c r="FA7" s="180"/>
      <c r="FB7" s="180"/>
      <c r="FC7" s="180"/>
      <c r="FD7" s="180"/>
      <c r="FE7" s="180"/>
      <c r="FF7" s="180"/>
      <c r="FG7" s="180"/>
      <c r="FH7" s="180"/>
      <c r="FI7" s="180"/>
      <c r="FJ7" s="180"/>
      <c r="FK7" s="180"/>
      <c r="FL7" s="180"/>
      <c r="FM7" s="180"/>
      <c r="FN7" s="180"/>
      <c r="FO7" s="180"/>
      <c r="FP7" s="180"/>
      <c r="FQ7" s="180"/>
      <c r="FR7" s="180"/>
      <c r="FS7" s="180"/>
      <c r="FT7" s="180"/>
      <c r="FU7" s="180"/>
      <c r="FV7" s="180"/>
      <c r="FW7" s="180"/>
      <c r="FX7" s="180"/>
      <c r="FY7" s="180"/>
      <c r="FZ7" s="180"/>
      <c r="GA7" s="180"/>
      <c r="GB7" s="180"/>
      <c r="GC7" s="180"/>
      <c r="GD7" s="180"/>
      <c r="GE7" s="180"/>
      <c r="GF7" s="180"/>
      <c r="GG7" s="180"/>
      <c r="GH7" s="180"/>
      <c r="GI7" s="180"/>
      <c r="GJ7" s="180"/>
      <c r="GK7" s="180"/>
      <c r="GL7" s="180"/>
      <c r="GM7" s="180"/>
      <c r="GN7" s="180"/>
      <c r="GO7" s="180"/>
      <c r="GP7" s="180"/>
      <c r="GQ7" s="180"/>
      <c r="GR7" s="180"/>
      <c r="GS7" s="180"/>
      <c r="GT7" s="180"/>
      <c r="GU7" s="180"/>
      <c r="GV7" s="180"/>
      <c r="GW7" s="180"/>
      <c r="GX7" s="180"/>
      <c r="GY7" s="180"/>
      <c r="GZ7" s="180"/>
      <c r="HA7" s="180"/>
      <c r="HB7" s="180"/>
      <c r="HC7" s="180"/>
      <c r="HD7" s="180"/>
      <c r="HE7" s="180"/>
      <c r="HF7" s="180"/>
      <c r="HG7" s="180"/>
      <c r="HH7" s="180"/>
      <c r="HI7" s="180"/>
      <c r="HJ7" s="180"/>
      <c r="HK7" s="180"/>
      <c r="HL7" s="180"/>
      <c r="HM7" s="180"/>
      <c r="HN7" s="180"/>
      <c r="HO7" s="180"/>
      <c r="HP7" s="180"/>
      <c r="HQ7" s="180"/>
      <c r="HR7" s="180"/>
      <c r="HS7" s="180"/>
    </row>
    <row r="8" spans="1:227" ht="26.25" customHeight="1" x14ac:dyDescent="0.25">
      <c r="A8" s="180"/>
      <c r="B8" s="180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180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  <c r="AT8" s="180"/>
      <c r="AU8" s="180"/>
      <c r="AV8" s="180"/>
      <c r="AW8" s="180"/>
      <c r="AX8" s="180"/>
      <c r="AY8" s="180"/>
      <c r="AZ8" s="180"/>
      <c r="BA8" s="180"/>
      <c r="BB8" s="180"/>
      <c r="BC8" s="180"/>
      <c r="BD8" s="180"/>
      <c r="BE8" s="180"/>
      <c r="BF8" s="180"/>
      <c r="BG8" s="180"/>
      <c r="BH8" s="180"/>
      <c r="BI8" s="180"/>
      <c r="BJ8" s="180"/>
      <c r="BK8" s="180"/>
      <c r="BL8" s="180"/>
      <c r="BM8" s="180"/>
      <c r="BN8" s="180"/>
      <c r="BO8" s="180"/>
      <c r="BP8" s="180"/>
      <c r="BQ8" s="180"/>
      <c r="BR8" s="180"/>
      <c r="BS8" s="180"/>
      <c r="BT8" s="180"/>
      <c r="BU8" s="180"/>
      <c r="BV8" s="180"/>
      <c r="BW8" s="180"/>
      <c r="BX8" s="180"/>
      <c r="BY8" s="180"/>
      <c r="BZ8" s="180"/>
      <c r="CA8" s="180"/>
      <c r="CB8" s="180"/>
      <c r="CC8" s="180"/>
      <c r="CD8" s="180"/>
      <c r="CE8" s="180"/>
      <c r="CF8" s="180"/>
      <c r="CG8" s="180"/>
      <c r="CH8" s="180"/>
      <c r="CI8" s="180"/>
      <c r="CJ8" s="180"/>
      <c r="CK8" s="180"/>
      <c r="CL8" s="180"/>
      <c r="CM8" s="180"/>
      <c r="CN8" s="180"/>
      <c r="CO8" s="180"/>
      <c r="CP8" s="180"/>
      <c r="CQ8" s="180"/>
      <c r="CR8" s="180"/>
      <c r="CS8" s="180"/>
      <c r="CT8" s="180"/>
      <c r="CU8" s="180"/>
      <c r="CV8" s="180"/>
      <c r="CW8" s="180"/>
      <c r="CX8" s="180"/>
      <c r="CY8" s="180"/>
      <c r="CZ8" s="180"/>
      <c r="DA8" s="180"/>
      <c r="DB8" s="180"/>
      <c r="DC8" s="180"/>
      <c r="DD8" s="180"/>
      <c r="DE8" s="180"/>
      <c r="DF8" s="180"/>
      <c r="DG8" s="180"/>
      <c r="DH8" s="180"/>
      <c r="DI8" s="180"/>
      <c r="DJ8" s="180"/>
      <c r="DK8" s="180"/>
      <c r="DL8" s="180"/>
      <c r="DM8" s="180"/>
      <c r="DN8" s="180"/>
      <c r="DO8" s="180"/>
      <c r="DP8" s="180"/>
      <c r="DQ8" s="180"/>
      <c r="DR8" s="180"/>
      <c r="DS8" s="180"/>
      <c r="DT8" s="180"/>
      <c r="DU8" s="180"/>
      <c r="DV8" s="180"/>
      <c r="DW8" s="180"/>
      <c r="DX8" s="180"/>
      <c r="DY8" s="180"/>
      <c r="DZ8" s="180"/>
      <c r="EA8" s="180"/>
      <c r="EB8" s="180"/>
      <c r="EC8" s="180"/>
      <c r="ED8" s="180"/>
      <c r="EE8" s="180"/>
      <c r="EF8" s="180"/>
      <c r="EG8" s="180"/>
      <c r="EH8" s="180"/>
      <c r="EI8" s="180"/>
      <c r="EJ8" s="180"/>
      <c r="EK8" s="180"/>
      <c r="EL8" s="180"/>
      <c r="EM8" s="180"/>
      <c r="EN8" s="180"/>
      <c r="EO8" s="180"/>
      <c r="EP8" s="180"/>
      <c r="EQ8" s="180"/>
      <c r="ER8" s="180"/>
      <c r="ES8" s="180"/>
      <c r="ET8" s="180"/>
      <c r="EU8" s="180"/>
      <c r="EV8" s="180"/>
      <c r="EW8" s="180"/>
      <c r="EX8" s="180"/>
      <c r="EY8" s="180"/>
      <c r="EZ8" s="180"/>
      <c r="FA8" s="180"/>
      <c r="FB8" s="180"/>
      <c r="FC8" s="180"/>
      <c r="FD8" s="180"/>
      <c r="FE8" s="180"/>
      <c r="FF8" s="180"/>
      <c r="FG8" s="180"/>
      <c r="FH8" s="180"/>
      <c r="FI8" s="180"/>
      <c r="FJ8" s="180"/>
      <c r="FK8" s="180"/>
      <c r="FL8" s="180"/>
      <c r="FM8" s="180"/>
      <c r="FN8" s="180"/>
      <c r="FO8" s="180"/>
      <c r="FP8" s="180"/>
      <c r="FQ8" s="180"/>
      <c r="FR8" s="180"/>
      <c r="FS8" s="180"/>
      <c r="FT8" s="180"/>
      <c r="FU8" s="180"/>
      <c r="FV8" s="180"/>
      <c r="FW8" s="180"/>
      <c r="FX8" s="180"/>
      <c r="FY8" s="180"/>
      <c r="FZ8" s="180"/>
      <c r="GA8" s="180"/>
      <c r="GB8" s="180"/>
      <c r="GC8" s="180"/>
      <c r="GD8" s="180"/>
      <c r="GE8" s="180"/>
      <c r="GF8" s="180"/>
      <c r="GG8" s="180"/>
      <c r="GH8" s="180"/>
      <c r="GI8" s="180"/>
      <c r="GJ8" s="180"/>
      <c r="GK8" s="180"/>
      <c r="GL8" s="180"/>
      <c r="GM8" s="180"/>
      <c r="GN8" s="180"/>
      <c r="GO8" s="180"/>
      <c r="GP8" s="180"/>
      <c r="GQ8" s="180"/>
      <c r="GR8" s="180"/>
      <c r="GS8" s="180"/>
      <c r="GT8" s="180"/>
      <c r="GU8" s="180"/>
      <c r="GV8" s="180"/>
      <c r="GW8" s="180"/>
      <c r="GX8" s="180"/>
      <c r="GY8" s="180"/>
      <c r="GZ8" s="180"/>
      <c r="HA8" s="180"/>
      <c r="HB8" s="180"/>
      <c r="HC8" s="180"/>
      <c r="HD8" s="180"/>
      <c r="HE8" s="180"/>
      <c r="HF8" s="180"/>
      <c r="HG8" s="180"/>
      <c r="HH8" s="180"/>
      <c r="HI8" s="180"/>
      <c r="HJ8" s="180"/>
      <c r="HK8" s="180"/>
      <c r="HL8" s="180"/>
      <c r="HM8" s="180"/>
      <c r="HN8" s="180"/>
      <c r="HO8" s="180"/>
      <c r="HP8" s="180"/>
      <c r="HQ8" s="180"/>
      <c r="HR8" s="180"/>
      <c r="HS8" s="180"/>
    </row>
    <row r="9" spans="1:227" ht="26.25" customHeight="1" x14ac:dyDescent="0.25">
      <c r="A9" s="180"/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  <c r="AT9" s="180"/>
      <c r="AU9" s="180"/>
      <c r="AV9" s="180"/>
      <c r="AW9" s="180"/>
      <c r="AX9" s="180"/>
      <c r="AY9" s="180"/>
      <c r="AZ9" s="180"/>
      <c r="BA9" s="180"/>
      <c r="BB9" s="180"/>
      <c r="BC9" s="180"/>
      <c r="BD9" s="180"/>
      <c r="BE9" s="180"/>
      <c r="BF9" s="180"/>
      <c r="BG9" s="180"/>
      <c r="BH9" s="180"/>
      <c r="BI9" s="180"/>
      <c r="BJ9" s="180"/>
      <c r="BK9" s="180"/>
      <c r="BL9" s="180"/>
      <c r="BM9" s="180"/>
      <c r="BN9" s="180"/>
      <c r="BO9" s="180"/>
      <c r="BP9" s="180"/>
      <c r="BQ9" s="180"/>
      <c r="BR9" s="180"/>
      <c r="BS9" s="180"/>
      <c r="BT9" s="180"/>
      <c r="BU9" s="180"/>
      <c r="BV9" s="180"/>
      <c r="BW9" s="180"/>
      <c r="BX9" s="180"/>
      <c r="BY9" s="180"/>
      <c r="BZ9" s="180"/>
      <c r="CA9" s="180"/>
      <c r="CB9" s="180"/>
      <c r="CC9" s="180"/>
      <c r="CD9" s="180"/>
      <c r="CE9" s="180"/>
      <c r="CF9" s="180"/>
      <c r="CG9" s="180"/>
      <c r="CH9" s="180"/>
      <c r="CI9" s="180"/>
      <c r="CJ9" s="180"/>
      <c r="CK9" s="180"/>
      <c r="CL9" s="180"/>
      <c r="CM9" s="180"/>
      <c r="CN9" s="180"/>
      <c r="CO9" s="180"/>
      <c r="CP9" s="180"/>
      <c r="CQ9" s="180"/>
      <c r="CR9" s="180"/>
      <c r="CS9" s="180"/>
      <c r="CT9" s="180"/>
      <c r="CU9" s="180"/>
      <c r="CV9" s="180"/>
      <c r="CW9" s="180"/>
      <c r="CX9" s="180"/>
      <c r="CY9" s="180"/>
      <c r="CZ9" s="180"/>
      <c r="DA9" s="180"/>
      <c r="DB9" s="180"/>
      <c r="DC9" s="180"/>
      <c r="DD9" s="180"/>
      <c r="DE9" s="180"/>
      <c r="DF9" s="180"/>
      <c r="DG9" s="180"/>
      <c r="DH9" s="180"/>
      <c r="DI9" s="180"/>
      <c r="DJ9" s="180"/>
      <c r="DK9" s="180"/>
      <c r="DL9" s="180"/>
      <c r="DM9" s="180"/>
      <c r="DN9" s="180"/>
      <c r="DO9" s="180"/>
      <c r="DP9" s="180"/>
      <c r="DQ9" s="180"/>
      <c r="DR9" s="180"/>
      <c r="DS9" s="180"/>
      <c r="DT9" s="180"/>
      <c r="DU9" s="180"/>
      <c r="DV9" s="180"/>
      <c r="DW9" s="180"/>
      <c r="DX9" s="180"/>
      <c r="DY9" s="180"/>
      <c r="DZ9" s="180"/>
      <c r="EA9" s="180"/>
      <c r="EB9" s="180"/>
      <c r="EC9" s="180"/>
      <c r="ED9" s="180"/>
      <c r="EE9" s="180"/>
      <c r="EF9" s="180"/>
      <c r="EG9" s="180"/>
      <c r="EH9" s="180"/>
      <c r="EI9" s="180"/>
      <c r="EJ9" s="180"/>
      <c r="EK9" s="180"/>
      <c r="EL9" s="180"/>
      <c r="EM9" s="180"/>
      <c r="EN9" s="180"/>
      <c r="EO9" s="180"/>
      <c r="EP9" s="180"/>
      <c r="EQ9" s="180"/>
      <c r="ER9" s="180"/>
      <c r="ES9" s="180"/>
      <c r="ET9" s="180"/>
      <c r="EU9" s="180"/>
      <c r="EV9" s="180"/>
      <c r="EW9" s="180"/>
      <c r="EX9" s="180"/>
      <c r="EY9" s="180"/>
      <c r="EZ9" s="180"/>
      <c r="FA9" s="180"/>
      <c r="FB9" s="180"/>
      <c r="FC9" s="180"/>
      <c r="FD9" s="180"/>
      <c r="FE9" s="180"/>
      <c r="FF9" s="180"/>
      <c r="FG9" s="180"/>
      <c r="FH9" s="180"/>
      <c r="FI9" s="180"/>
      <c r="FJ9" s="180"/>
      <c r="FK9" s="180"/>
      <c r="FL9" s="180"/>
      <c r="FM9" s="180"/>
      <c r="FN9" s="180"/>
      <c r="FO9" s="180"/>
      <c r="FP9" s="180"/>
      <c r="FQ9" s="180"/>
      <c r="FR9" s="180"/>
      <c r="FS9" s="180"/>
      <c r="FT9" s="180"/>
      <c r="FU9" s="180"/>
      <c r="FV9" s="180"/>
      <c r="FW9" s="180"/>
      <c r="FX9" s="180"/>
      <c r="FY9" s="180"/>
      <c r="FZ9" s="180"/>
      <c r="GA9" s="180"/>
      <c r="GB9" s="180"/>
      <c r="GC9" s="180"/>
      <c r="GD9" s="180"/>
      <c r="GE9" s="180"/>
      <c r="GF9" s="180"/>
      <c r="GG9" s="180"/>
      <c r="GH9" s="180"/>
      <c r="GI9" s="180"/>
      <c r="GJ9" s="180"/>
      <c r="GK9" s="180"/>
      <c r="GL9" s="180"/>
      <c r="GM9" s="180"/>
      <c r="GN9" s="180"/>
      <c r="GO9" s="180"/>
      <c r="GP9" s="180"/>
      <c r="GQ9" s="180"/>
      <c r="GR9" s="180"/>
      <c r="GS9" s="180"/>
      <c r="GT9" s="180"/>
      <c r="GU9" s="180"/>
      <c r="GV9" s="180"/>
      <c r="GW9" s="180"/>
      <c r="GX9" s="180"/>
      <c r="GY9" s="180"/>
      <c r="GZ9" s="180"/>
      <c r="HA9" s="180"/>
      <c r="HB9" s="180"/>
      <c r="HC9" s="180"/>
      <c r="HD9" s="180"/>
      <c r="HE9" s="180"/>
      <c r="HF9" s="180"/>
      <c r="HG9" s="180"/>
      <c r="HH9" s="180"/>
      <c r="HI9" s="180"/>
      <c r="HJ9" s="180"/>
      <c r="HK9" s="180"/>
      <c r="HL9" s="180"/>
      <c r="HM9" s="180"/>
      <c r="HN9" s="180"/>
      <c r="HO9" s="180"/>
      <c r="HP9" s="180"/>
      <c r="HQ9" s="180"/>
      <c r="HR9" s="180"/>
      <c r="HS9" s="180"/>
    </row>
    <row r="10" spans="1:227" ht="26.25" customHeight="1" x14ac:dyDescent="0.25">
      <c r="A10" s="180"/>
      <c r="B10" s="180"/>
      <c r="C10" s="180"/>
      <c r="D10" s="180"/>
      <c r="E10" s="180"/>
      <c r="F10" s="180"/>
      <c r="G10" s="180"/>
      <c r="H10" s="180"/>
      <c r="I10" s="180"/>
      <c r="J10" s="180"/>
      <c r="K10" s="180"/>
      <c r="L10" s="180"/>
      <c r="M10" s="180"/>
      <c r="N10" s="180"/>
      <c r="O10" s="180"/>
      <c r="P10" s="180"/>
      <c r="Q10" s="180"/>
      <c r="R10" s="180"/>
      <c r="S10" s="180"/>
      <c r="T10" s="180"/>
      <c r="U10" s="180"/>
      <c r="V10" s="180"/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  <c r="AT10" s="180"/>
      <c r="AU10" s="180"/>
      <c r="AV10" s="180"/>
      <c r="AW10" s="180"/>
      <c r="AX10" s="180"/>
      <c r="AY10" s="180"/>
      <c r="AZ10" s="180"/>
      <c r="BA10" s="180"/>
      <c r="BB10" s="180"/>
      <c r="BC10" s="180"/>
      <c r="BD10" s="180"/>
      <c r="BE10" s="180"/>
      <c r="BF10" s="180"/>
      <c r="BG10" s="180"/>
      <c r="BH10" s="180"/>
      <c r="BI10" s="180"/>
      <c r="BJ10" s="180"/>
      <c r="BK10" s="180"/>
      <c r="BL10" s="180"/>
      <c r="BM10" s="180"/>
      <c r="BN10" s="180"/>
      <c r="BO10" s="180"/>
      <c r="BP10" s="180"/>
      <c r="BQ10" s="180"/>
      <c r="BR10" s="180"/>
      <c r="BS10" s="180"/>
      <c r="BT10" s="180"/>
      <c r="BU10" s="180"/>
      <c r="BV10" s="180"/>
      <c r="BW10" s="180"/>
      <c r="BX10" s="180"/>
      <c r="BY10" s="180"/>
      <c r="BZ10" s="180"/>
      <c r="CA10" s="180"/>
      <c r="CB10" s="180"/>
      <c r="CC10" s="180"/>
      <c r="CD10" s="180"/>
      <c r="CE10" s="180"/>
      <c r="CF10" s="180"/>
      <c r="CG10" s="180"/>
      <c r="CH10" s="180"/>
      <c r="CI10" s="180"/>
      <c r="CJ10" s="180"/>
      <c r="CK10" s="180"/>
      <c r="CL10" s="180"/>
      <c r="CM10" s="180"/>
      <c r="CN10" s="180"/>
      <c r="CO10" s="180"/>
      <c r="CP10" s="180"/>
      <c r="CQ10" s="180"/>
      <c r="CR10" s="180"/>
      <c r="CS10" s="180"/>
      <c r="CT10" s="180"/>
      <c r="CU10" s="180"/>
      <c r="CV10" s="180"/>
      <c r="CW10" s="180"/>
      <c r="CX10" s="180"/>
      <c r="CY10" s="180"/>
      <c r="CZ10" s="180"/>
      <c r="DA10" s="180"/>
      <c r="DB10" s="180"/>
      <c r="DC10" s="180"/>
      <c r="DD10" s="180"/>
      <c r="DE10" s="180"/>
      <c r="DF10" s="180"/>
      <c r="DG10" s="180"/>
      <c r="DH10" s="180"/>
      <c r="DI10" s="180"/>
      <c r="DJ10" s="180"/>
      <c r="DK10" s="180"/>
      <c r="DL10" s="180"/>
      <c r="DM10" s="180"/>
      <c r="DN10" s="180"/>
      <c r="DO10" s="180"/>
      <c r="DP10" s="180"/>
      <c r="DQ10" s="180"/>
      <c r="DR10" s="180"/>
      <c r="DS10" s="180"/>
      <c r="DT10" s="180"/>
      <c r="DU10" s="180"/>
      <c r="DV10" s="180"/>
      <c r="DW10" s="180"/>
      <c r="DX10" s="180"/>
      <c r="DY10" s="180"/>
      <c r="DZ10" s="180"/>
      <c r="EA10" s="180"/>
      <c r="EB10" s="180"/>
      <c r="EC10" s="180"/>
      <c r="ED10" s="180"/>
      <c r="EE10" s="180"/>
      <c r="EF10" s="180"/>
      <c r="EG10" s="180"/>
      <c r="EH10" s="180"/>
      <c r="EI10" s="180"/>
      <c r="EJ10" s="180"/>
      <c r="EK10" s="180"/>
      <c r="EL10" s="180"/>
      <c r="EM10" s="180"/>
      <c r="EN10" s="180"/>
      <c r="EO10" s="180"/>
      <c r="EP10" s="180"/>
      <c r="EQ10" s="180"/>
      <c r="ER10" s="180"/>
      <c r="ES10" s="180"/>
      <c r="ET10" s="180"/>
      <c r="EU10" s="180"/>
      <c r="EV10" s="180"/>
      <c r="EW10" s="180"/>
      <c r="EX10" s="180"/>
      <c r="EY10" s="180"/>
      <c r="EZ10" s="180"/>
      <c r="FA10" s="180"/>
      <c r="FB10" s="180"/>
      <c r="FC10" s="180"/>
      <c r="FD10" s="180"/>
      <c r="FE10" s="180"/>
      <c r="FF10" s="180"/>
      <c r="FG10" s="180"/>
      <c r="FH10" s="180"/>
      <c r="FI10" s="180"/>
      <c r="FJ10" s="180"/>
      <c r="FK10" s="180"/>
      <c r="FL10" s="180"/>
      <c r="FM10" s="180"/>
      <c r="FN10" s="180"/>
      <c r="FO10" s="180"/>
      <c r="FP10" s="180"/>
      <c r="FQ10" s="180"/>
      <c r="FR10" s="180"/>
      <c r="FS10" s="180"/>
      <c r="FT10" s="180"/>
      <c r="FU10" s="180"/>
      <c r="FV10" s="180"/>
      <c r="FW10" s="180"/>
      <c r="FX10" s="180"/>
      <c r="FY10" s="180"/>
      <c r="FZ10" s="180"/>
      <c r="GA10" s="180"/>
      <c r="GB10" s="180"/>
      <c r="GC10" s="180"/>
      <c r="GD10" s="180"/>
      <c r="GE10" s="180"/>
      <c r="GF10" s="180"/>
      <c r="GG10" s="180"/>
      <c r="GH10" s="180"/>
      <c r="GI10" s="180"/>
      <c r="GJ10" s="180"/>
      <c r="GK10" s="180"/>
      <c r="GL10" s="180"/>
      <c r="GM10" s="180"/>
      <c r="GN10" s="180"/>
      <c r="GO10" s="180"/>
      <c r="GP10" s="180"/>
      <c r="GQ10" s="180"/>
      <c r="GR10" s="180"/>
      <c r="GS10" s="180"/>
      <c r="GT10" s="180"/>
      <c r="GU10" s="180"/>
      <c r="GV10" s="180"/>
      <c r="GW10" s="180"/>
      <c r="GX10" s="180"/>
      <c r="GY10" s="180"/>
      <c r="GZ10" s="180"/>
      <c r="HA10" s="180"/>
      <c r="HB10" s="180"/>
      <c r="HC10" s="180"/>
      <c r="HD10" s="180"/>
      <c r="HE10" s="180"/>
      <c r="HF10" s="180"/>
      <c r="HG10" s="180"/>
      <c r="HH10" s="180"/>
      <c r="HI10" s="180"/>
      <c r="HJ10" s="180"/>
      <c r="HK10" s="180"/>
      <c r="HL10" s="180"/>
      <c r="HM10" s="180"/>
      <c r="HN10" s="180"/>
      <c r="HO10" s="180"/>
      <c r="HP10" s="180"/>
      <c r="HQ10" s="180"/>
      <c r="HR10" s="180"/>
      <c r="HS10" s="180"/>
    </row>
    <row r="11" spans="1:227" x14ac:dyDescent="0.25">
      <c r="A11" s="180"/>
      <c r="B11" s="180"/>
      <c r="C11" s="180"/>
      <c r="D11" s="180"/>
      <c r="E11" s="180"/>
      <c r="F11" s="180"/>
      <c r="G11" s="180"/>
      <c r="H11" s="180"/>
      <c r="I11" s="180"/>
      <c r="J11" s="180"/>
      <c r="K11" s="180"/>
      <c r="L11" s="180"/>
      <c r="M11" s="180"/>
      <c r="N11" s="180"/>
      <c r="O11" s="180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  <c r="BA11" s="180"/>
      <c r="BB11" s="180"/>
      <c r="BC11" s="180"/>
      <c r="BD11" s="180"/>
      <c r="BE11" s="180"/>
      <c r="BF11" s="180"/>
      <c r="BG11" s="180"/>
      <c r="BH11" s="180"/>
      <c r="BI11" s="180"/>
      <c r="BJ11" s="180"/>
      <c r="BK11" s="180"/>
      <c r="BL11" s="180"/>
      <c r="BM11" s="180"/>
      <c r="BN11" s="180"/>
      <c r="BO11" s="180"/>
      <c r="BP11" s="180"/>
      <c r="BQ11" s="180"/>
      <c r="BR11" s="180"/>
      <c r="BS11" s="180"/>
      <c r="BT11" s="180"/>
      <c r="BU11" s="180"/>
      <c r="BV11" s="180"/>
      <c r="BW11" s="180"/>
      <c r="BX11" s="180"/>
      <c r="BY11" s="180"/>
      <c r="BZ11" s="180"/>
      <c r="CA11" s="180"/>
      <c r="CB11" s="180"/>
      <c r="CC11" s="180"/>
      <c r="CD11" s="180"/>
      <c r="CE11" s="180"/>
      <c r="CF11" s="180"/>
      <c r="CG11" s="180"/>
      <c r="CH11" s="180"/>
      <c r="CI11" s="180"/>
      <c r="CJ11" s="180"/>
      <c r="CK11" s="180"/>
      <c r="CL11" s="180"/>
      <c r="CM11" s="180"/>
      <c r="CN11" s="180"/>
      <c r="CO11" s="180"/>
      <c r="CP11" s="180"/>
      <c r="CQ11" s="180"/>
      <c r="CR11" s="180"/>
      <c r="CS11" s="180"/>
      <c r="CT11" s="180"/>
      <c r="CU11" s="180"/>
      <c r="CV11" s="180"/>
      <c r="CW11" s="180"/>
      <c r="CX11" s="180"/>
      <c r="CY11" s="180"/>
      <c r="CZ11" s="180"/>
      <c r="DA11" s="180"/>
      <c r="DB11" s="180"/>
      <c r="DC11" s="180"/>
      <c r="DD11" s="180"/>
      <c r="DE11" s="180"/>
      <c r="DF11" s="180"/>
      <c r="DG11" s="180"/>
      <c r="DH11" s="180"/>
      <c r="DI11" s="180"/>
      <c r="DJ11" s="180"/>
      <c r="DK11" s="180"/>
      <c r="DL11" s="180"/>
      <c r="DM11" s="180"/>
      <c r="DN11" s="180"/>
      <c r="DO11" s="180"/>
      <c r="DP11" s="180"/>
      <c r="DQ11" s="180"/>
      <c r="DR11" s="180"/>
      <c r="DS11" s="180"/>
      <c r="DT11" s="180"/>
      <c r="DU11" s="180"/>
      <c r="DV11" s="180"/>
      <c r="DW11" s="180"/>
      <c r="DX11" s="180"/>
      <c r="DY11" s="180"/>
      <c r="DZ11" s="180"/>
      <c r="EA11" s="180"/>
      <c r="EB11" s="180"/>
      <c r="EC11" s="180"/>
      <c r="ED11" s="180"/>
      <c r="EE11" s="180"/>
      <c r="EF11" s="180"/>
      <c r="EG11" s="180"/>
      <c r="EH11" s="180"/>
      <c r="EI11" s="180"/>
      <c r="EJ11" s="180"/>
      <c r="EK11" s="180"/>
      <c r="EL11" s="180"/>
      <c r="EM11" s="180"/>
      <c r="EN11" s="180"/>
      <c r="EO11" s="180"/>
      <c r="EP11" s="180"/>
      <c r="EQ11" s="180"/>
      <c r="ER11" s="180"/>
      <c r="ES11" s="180"/>
      <c r="ET11" s="180"/>
      <c r="EU11" s="180"/>
      <c r="EV11" s="180"/>
      <c r="EW11" s="180"/>
      <c r="EX11" s="180"/>
      <c r="EY11" s="180"/>
      <c r="EZ11" s="180"/>
      <c r="FA11" s="180"/>
      <c r="FB11" s="180"/>
      <c r="FC11" s="180"/>
      <c r="FD11" s="180"/>
      <c r="FE11" s="180"/>
      <c r="FF11" s="180"/>
      <c r="FG11" s="180"/>
      <c r="FH11" s="180"/>
      <c r="FI11" s="180"/>
      <c r="FJ11" s="180"/>
      <c r="FK11" s="180"/>
      <c r="FL11" s="180"/>
      <c r="FM11" s="180"/>
      <c r="FN11" s="180"/>
      <c r="FO11" s="180"/>
      <c r="FP11" s="180"/>
      <c r="FQ11" s="180"/>
      <c r="FR11" s="180"/>
      <c r="FS11" s="180"/>
      <c r="FT11" s="180"/>
      <c r="FU11" s="180"/>
      <c r="FV11" s="180"/>
      <c r="FW11" s="180"/>
      <c r="FX11" s="180"/>
      <c r="FY11" s="180"/>
      <c r="FZ11" s="180"/>
      <c r="GA11" s="180"/>
      <c r="GB11" s="180"/>
      <c r="GC11" s="180"/>
      <c r="GD11" s="180"/>
      <c r="GE11" s="180"/>
      <c r="GF11" s="180"/>
      <c r="GG11" s="180"/>
      <c r="GH11" s="180"/>
      <c r="GI11" s="180"/>
      <c r="GJ11" s="180"/>
      <c r="GK11" s="180"/>
      <c r="GL11" s="180"/>
      <c r="GM11" s="180"/>
      <c r="GN11" s="180"/>
      <c r="GO11" s="180"/>
      <c r="GP11" s="180"/>
      <c r="GQ11" s="180"/>
      <c r="GR11" s="180"/>
      <c r="GS11" s="180"/>
      <c r="GT11" s="180"/>
      <c r="GU11" s="180"/>
      <c r="GV11" s="180"/>
      <c r="GW11" s="180"/>
      <c r="GX11" s="180"/>
      <c r="GY11" s="180"/>
      <c r="GZ11" s="180"/>
      <c r="HA11" s="180"/>
      <c r="HB11" s="180"/>
      <c r="HC11" s="180"/>
      <c r="HD11" s="180"/>
      <c r="HE11" s="180"/>
      <c r="HF11" s="180"/>
      <c r="HG11" s="180"/>
      <c r="HH11" s="180"/>
      <c r="HI11" s="180"/>
      <c r="HJ11" s="180"/>
      <c r="HK11" s="180"/>
      <c r="HL11" s="180"/>
      <c r="HM11" s="180"/>
      <c r="HN11" s="180"/>
      <c r="HO11" s="180"/>
      <c r="HP11" s="180"/>
      <c r="HQ11" s="180"/>
      <c r="HR11" s="180"/>
      <c r="HS11" s="180"/>
    </row>
    <row r="13" spans="1:227" ht="15.75" customHeight="1" x14ac:dyDescent="0.25">
      <c r="A13" s="157" t="s">
        <v>0</v>
      </c>
      <c r="B13" s="158" t="s">
        <v>1</v>
      </c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  <c r="AA13" s="159"/>
      <c r="AB13" s="159"/>
      <c r="AC13" s="159"/>
      <c r="AD13" s="159"/>
      <c r="AE13" s="159"/>
      <c r="AF13" s="159"/>
      <c r="AG13" s="159"/>
      <c r="AH13" s="159"/>
      <c r="AI13" s="159"/>
      <c r="AJ13" s="159"/>
      <c r="AK13" s="159"/>
      <c r="AL13" s="159"/>
      <c r="AM13" s="159"/>
      <c r="AN13" s="159"/>
      <c r="AO13" s="159"/>
      <c r="AP13" s="159"/>
      <c r="AQ13" s="159"/>
      <c r="AR13" s="159"/>
      <c r="AS13" s="159"/>
      <c r="AT13" s="159"/>
      <c r="AU13" s="159"/>
      <c r="AV13" s="159"/>
      <c r="AW13" s="159"/>
      <c r="AX13" s="159"/>
      <c r="AY13" s="159"/>
      <c r="AZ13" s="159"/>
      <c r="BA13" s="159"/>
      <c r="BB13" s="159"/>
      <c r="BC13" s="159"/>
      <c r="BD13" s="159"/>
      <c r="BE13" s="159"/>
      <c r="BF13" s="159"/>
      <c r="BG13" s="159"/>
      <c r="BH13" s="159"/>
      <c r="BI13" s="159"/>
      <c r="BJ13" s="159"/>
      <c r="BK13" s="159"/>
      <c r="BL13" s="159"/>
      <c r="BM13" s="159"/>
      <c r="BN13" s="159"/>
      <c r="BO13" s="159"/>
      <c r="BP13" s="159"/>
      <c r="BQ13" s="159"/>
      <c r="BR13" s="159"/>
      <c r="BS13" s="159"/>
      <c r="BT13" s="159"/>
      <c r="BU13" s="159"/>
      <c r="BV13" s="159"/>
      <c r="BW13" s="159"/>
      <c r="BX13" s="159"/>
      <c r="BY13" s="159"/>
      <c r="BZ13" s="159"/>
      <c r="CA13" s="159"/>
      <c r="CB13" s="159"/>
      <c r="CC13" s="159"/>
      <c r="CD13" s="159"/>
      <c r="CE13" s="159"/>
      <c r="CF13" s="159"/>
      <c r="CG13" s="159"/>
      <c r="CH13" s="159"/>
      <c r="CI13" s="159"/>
      <c r="CJ13" s="160" t="s">
        <v>2</v>
      </c>
      <c r="CK13" s="160"/>
      <c r="CL13" s="160"/>
      <c r="CM13" s="160"/>
      <c r="CN13" s="160"/>
      <c r="CO13" s="160"/>
      <c r="CP13" s="160"/>
      <c r="CQ13" s="160"/>
      <c r="CR13" s="160"/>
      <c r="CS13" s="160"/>
      <c r="CT13" s="160"/>
      <c r="CU13" s="160"/>
      <c r="CV13" s="160"/>
      <c r="CW13" s="160"/>
      <c r="CX13" s="160"/>
      <c r="CY13" s="160"/>
      <c r="CZ13" s="160"/>
      <c r="DA13" s="160"/>
      <c r="DB13" s="160"/>
      <c r="DC13" s="160"/>
      <c r="DD13" s="160"/>
      <c r="DE13" s="160"/>
      <c r="DF13" s="160"/>
      <c r="DG13" s="160"/>
      <c r="DH13" s="160"/>
      <c r="DI13" s="160"/>
      <c r="DJ13" s="160"/>
      <c r="DK13" s="160"/>
      <c r="DL13" s="160"/>
      <c r="DM13" s="160"/>
      <c r="DN13" s="160"/>
      <c r="DO13" s="160"/>
      <c r="DP13" s="160"/>
      <c r="DQ13" s="160"/>
      <c r="DR13" s="160"/>
      <c r="DS13" s="160"/>
      <c r="DT13" s="160"/>
      <c r="DU13" s="160"/>
      <c r="DV13" s="160"/>
      <c r="DW13" s="160"/>
      <c r="DX13" s="160"/>
      <c r="DY13" s="160"/>
      <c r="DZ13" s="160"/>
      <c r="EA13" s="160"/>
      <c r="EB13" s="160"/>
      <c r="EC13" s="160"/>
      <c r="ED13" s="160"/>
      <c r="EE13" s="160"/>
      <c r="EF13" s="160"/>
      <c r="EG13" s="160"/>
      <c r="EH13" s="160"/>
      <c r="EI13" s="160"/>
      <c r="EJ13" s="160"/>
      <c r="EK13" s="160"/>
      <c r="EL13" s="160"/>
      <c r="EM13" s="160"/>
      <c r="EN13" s="160"/>
      <c r="EO13" s="160"/>
      <c r="EP13" s="160"/>
      <c r="EQ13" s="160"/>
      <c r="ER13" s="160"/>
      <c r="ES13" s="160"/>
      <c r="ET13" s="160"/>
      <c r="EU13" s="160"/>
      <c r="EV13" s="160"/>
      <c r="EW13" s="160"/>
      <c r="EX13" s="160"/>
      <c r="EY13" s="194" t="s">
        <v>8</v>
      </c>
      <c r="EZ13" s="195"/>
      <c r="FA13" s="195"/>
      <c r="FB13" s="195"/>
      <c r="FC13" s="195"/>
      <c r="FD13" s="195"/>
      <c r="FE13" s="195"/>
      <c r="FF13" s="195"/>
      <c r="FG13" s="161" t="s">
        <v>3</v>
      </c>
      <c r="FH13" s="161"/>
      <c r="FI13" s="161"/>
      <c r="FJ13" s="161"/>
      <c r="FK13" s="161"/>
      <c r="FL13" s="161"/>
      <c r="FM13" s="161"/>
      <c r="FN13" s="161"/>
      <c r="FO13" s="161"/>
      <c r="FP13" s="161"/>
      <c r="FQ13" s="161"/>
      <c r="FR13" s="161"/>
      <c r="FS13" s="161"/>
      <c r="FT13" s="161"/>
      <c r="FU13" s="161"/>
      <c r="FV13" s="161"/>
      <c r="FW13" s="161"/>
      <c r="FX13" s="161"/>
      <c r="FY13" s="161"/>
      <c r="FZ13" s="161"/>
      <c r="GA13" s="161"/>
      <c r="GB13" s="161"/>
      <c r="GC13" s="161"/>
      <c r="GD13" s="161"/>
      <c r="GE13" s="161"/>
      <c r="GF13" s="161"/>
      <c r="GG13" s="161"/>
      <c r="GH13" s="161"/>
      <c r="GI13" s="161"/>
      <c r="GJ13" s="161"/>
      <c r="GK13" s="161"/>
      <c r="GL13" s="161"/>
      <c r="GM13" s="161"/>
      <c r="GN13" s="161"/>
      <c r="GO13" s="161"/>
      <c r="GP13" s="161"/>
      <c r="GQ13" s="161"/>
      <c r="GR13" s="161"/>
      <c r="GS13" s="161"/>
      <c r="GT13" s="161"/>
      <c r="GU13" s="161"/>
      <c r="GV13" s="161"/>
      <c r="GW13" s="161"/>
      <c r="GX13" s="161"/>
      <c r="GY13" s="161"/>
      <c r="GZ13" s="161"/>
      <c r="HA13" s="161"/>
      <c r="HB13" s="161"/>
      <c r="HC13" s="161"/>
      <c r="HD13" s="161"/>
      <c r="HE13" s="161"/>
      <c r="HF13" s="161"/>
      <c r="HG13" s="161"/>
      <c r="HH13" s="161"/>
      <c r="HI13" s="161"/>
      <c r="HJ13" s="161"/>
      <c r="HK13" s="161"/>
      <c r="HL13" s="161"/>
      <c r="HM13" s="161"/>
      <c r="HN13" s="161"/>
      <c r="HO13" s="189" t="s">
        <v>4</v>
      </c>
      <c r="HP13" s="190" t="s">
        <v>5</v>
      </c>
      <c r="HQ13" s="14"/>
      <c r="HR13" s="191" t="s">
        <v>6</v>
      </c>
      <c r="HS13" s="192" t="s">
        <v>7</v>
      </c>
    </row>
    <row r="14" spans="1:227" ht="15.75" customHeight="1" x14ac:dyDescent="0.25">
      <c r="A14" s="157"/>
      <c r="B14" s="167" t="s">
        <v>45</v>
      </c>
      <c r="C14" s="163"/>
      <c r="D14" s="163"/>
      <c r="E14" s="163"/>
      <c r="F14" s="163"/>
      <c r="G14" s="166" t="s">
        <v>44</v>
      </c>
      <c r="H14" s="166"/>
      <c r="I14" s="166"/>
      <c r="J14" s="166"/>
      <c r="K14" s="165" t="s">
        <v>43</v>
      </c>
      <c r="L14" s="165"/>
      <c r="M14" s="165"/>
      <c r="N14" s="165"/>
      <c r="O14" s="165"/>
      <c r="P14" s="164" t="s">
        <v>42</v>
      </c>
      <c r="Q14" s="164"/>
      <c r="R14" s="164"/>
      <c r="S14" s="164"/>
      <c r="T14" s="164"/>
      <c r="U14" s="144" t="s">
        <v>33</v>
      </c>
      <c r="V14" s="144"/>
      <c r="W14" s="144"/>
      <c r="X14" s="144"/>
      <c r="Y14" s="162" t="s">
        <v>37</v>
      </c>
      <c r="Z14" s="162"/>
      <c r="AA14" s="162"/>
      <c r="AB14" s="162"/>
      <c r="AC14" s="162"/>
      <c r="AD14" s="163" t="s">
        <v>41</v>
      </c>
      <c r="AE14" s="163"/>
      <c r="AF14" s="163"/>
      <c r="AG14" s="163"/>
      <c r="AH14" s="163"/>
      <c r="AI14" s="168" t="s">
        <v>48</v>
      </c>
      <c r="AJ14" s="168"/>
      <c r="AK14" s="168"/>
      <c r="AL14" s="168"/>
      <c r="AM14" s="168"/>
      <c r="AN14" s="169" t="s">
        <v>57</v>
      </c>
      <c r="AO14" s="169"/>
      <c r="AP14" s="169"/>
      <c r="AQ14" s="169"/>
      <c r="AR14" s="169"/>
      <c r="AS14" s="144" t="s">
        <v>62</v>
      </c>
      <c r="AT14" s="144"/>
      <c r="AU14" s="144"/>
      <c r="AV14" s="144"/>
      <c r="AW14" s="185" t="s">
        <v>65</v>
      </c>
      <c r="AX14" s="185"/>
      <c r="AY14" s="185"/>
      <c r="AZ14" s="185"/>
      <c r="BA14" s="186" t="s">
        <v>70</v>
      </c>
      <c r="BB14" s="186"/>
      <c r="BC14" s="186"/>
      <c r="BD14" s="186"/>
      <c r="BE14" s="186"/>
      <c r="BF14" s="187" t="s">
        <v>75</v>
      </c>
      <c r="BG14" s="187"/>
      <c r="BH14" s="187"/>
      <c r="BI14" s="187"/>
      <c r="BJ14" s="165" t="s">
        <v>79</v>
      </c>
      <c r="BK14" s="165"/>
      <c r="BL14" s="165"/>
      <c r="BM14" s="165"/>
      <c r="BN14" s="24"/>
      <c r="BO14" s="24"/>
      <c r="BP14" s="188" t="s">
        <v>86</v>
      </c>
      <c r="BQ14" s="188"/>
      <c r="BR14" s="188"/>
      <c r="BS14" s="188"/>
      <c r="BT14" s="188"/>
      <c r="BU14" s="181" t="s">
        <v>91</v>
      </c>
      <c r="BV14" s="181"/>
      <c r="BW14" s="181"/>
      <c r="BX14" s="181"/>
      <c r="BY14" s="181"/>
      <c r="BZ14" s="182" t="s">
        <v>96</v>
      </c>
      <c r="CA14" s="182"/>
      <c r="CB14" s="182"/>
      <c r="CC14" s="182"/>
      <c r="CD14" s="67"/>
      <c r="CE14" s="183" t="s">
        <v>102</v>
      </c>
      <c r="CF14" s="183"/>
      <c r="CG14" s="183"/>
      <c r="CH14" s="183"/>
      <c r="CI14" s="184"/>
      <c r="CJ14" s="141" t="s">
        <v>107</v>
      </c>
      <c r="CK14" s="142"/>
      <c r="CL14" s="142"/>
      <c r="CM14" s="142"/>
      <c r="CN14" s="142"/>
      <c r="CO14" s="143"/>
      <c r="CP14" s="145" t="s">
        <v>113</v>
      </c>
      <c r="CQ14" s="146"/>
      <c r="CR14" s="146"/>
      <c r="CS14" s="146"/>
      <c r="CT14" s="147"/>
      <c r="CU14" s="148" t="s">
        <v>118</v>
      </c>
      <c r="CV14" s="149"/>
      <c r="CW14" s="149"/>
      <c r="CX14" s="149"/>
      <c r="CY14" s="150"/>
      <c r="CZ14" s="151" t="s">
        <v>123</v>
      </c>
      <c r="DA14" s="152"/>
      <c r="DB14" s="152"/>
      <c r="DC14" s="152"/>
      <c r="DD14" s="153"/>
      <c r="DE14" s="120" t="s">
        <v>130</v>
      </c>
      <c r="DF14" s="121"/>
      <c r="DG14" s="121"/>
      <c r="DH14" s="122"/>
      <c r="DI14" s="132" t="s">
        <v>134</v>
      </c>
      <c r="DJ14" s="133"/>
      <c r="DK14" s="133"/>
      <c r="DL14" s="133"/>
      <c r="DM14" s="134"/>
      <c r="DN14" s="135" t="s">
        <v>138</v>
      </c>
      <c r="DO14" s="136"/>
      <c r="DP14" s="136"/>
      <c r="DQ14" s="136"/>
      <c r="DR14" s="137"/>
      <c r="DS14" s="129" t="s">
        <v>142</v>
      </c>
      <c r="DT14" s="130"/>
      <c r="DU14" s="130"/>
      <c r="DV14" s="130"/>
      <c r="DW14" s="130"/>
      <c r="DX14" s="131"/>
      <c r="DY14" s="138" t="s">
        <v>148</v>
      </c>
      <c r="DZ14" s="139"/>
      <c r="EA14" s="139"/>
      <c r="EB14" s="140"/>
      <c r="EC14" s="141" t="s">
        <v>152</v>
      </c>
      <c r="ED14" s="142"/>
      <c r="EE14" s="142"/>
      <c r="EF14" s="142"/>
      <c r="EG14" s="142"/>
      <c r="EH14" s="143"/>
      <c r="EI14" s="123" t="s">
        <v>158</v>
      </c>
      <c r="EJ14" s="124"/>
      <c r="EK14" s="124"/>
      <c r="EL14" s="124"/>
      <c r="EM14" s="124"/>
      <c r="EN14" s="125"/>
      <c r="EO14" s="126" t="s">
        <v>164</v>
      </c>
      <c r="EP14" s="127"/>
      <c r="EQ14" s="127"/>
      <c r="ER14" s="127"/>
      <c r="ES14" s="128"/>
      <c r="ET14" s="129" t="s">
        <v>169</v>
      </c>
      <c r="EU14" s="130"/>
      <c r="EV14" s="130"/>
      <c r="EW14" s="130"/>
      <c r="EX14" s="131"/>
      <c r="EY14" s="196" t="s">
        <v>178</v>
      </c>
      <c r="EZ14" s="197"/>
      <c r="FA14" s="197"/>
      <c r="FB14" s="197"/>
      <c r="FC14" s="197"/>
      <c r="FD14" s="197"/>
      <c r="FE14" s="197"/>
      <c r="FF14" s="198"/>
      <c r="FG14" s="199" t="s">
        <v>179</v>
      </c>
      <c r="FH14" s="200"/>
      <c r="FI14" s="200"/>
      <c r="FJ14" s="200"/>
      <c r="FK14" s="200"/>
      <c r="FL14" s="201"/>
      <c r="FM14" s="170" t="s">
        <v>186</v>
      </c>
      <c r="FN14" s="171"/>
      <c r="FO14" s="171"/>
      <c r="FP14" s="171"/>
      <c r="FQ14" s="171"/>
      <c r="FR14" s="172"/>
      <c r="FS14" s="173" t="s">
        <v>192</v>
      </c>
      <c r="FT14" s="174"/>
      <c r="FU14" s="174"/>
      <c r="FV14" s="174"/>
      <c r="FW14" s="175"/>
      <c r="FX14" s="132" t="s">
        <v>197</v>
      </c>
      <c r="FY14" s="133"/>
      <c r="FZ14" s="133"/>
      <c r="GA14" s="133"/>
      <c r="GB14" s="133"/>
      <c r="GC14" s="134"/>
      <c r="GD14" s="141" t="s">
        <v>203</v>
      </c>
      <c r="GE14" s="142"/>
      <c r="GF14" s="142"/>
      <c r="GG14" s="142"/>
      <c r="GH14" s="142"/>
      <c r="GI14" s="142"/>
      <c r="GJ14" s="143"/>
      <c r="GK14" s="68"/>
      <c r="GL14" s="176" t="s">
        <v>212</v>
      </c>
      <c r="GM14" s="177"/>
      <c r="GN14" s="177"/>
      <c r="GO14" s="177"/>
      <c r="GP14" s="177"/>
      <c r="GQ14" s="178"/>
      <c r="GR14" s="132" t="s">
        <v>218</v>
      </c>
      <c r="GS14" s="133"/>
      <c r="GT14" s="133"/>
      <c r="GU14" s="133"/>
      <c r="GV14" s="133"/>
      <c r="GW14" s="133"/>
      <c r="GX14" s="133"/>
      <c r="GY14" s="134"/>
      <c r="GZ14" s="111"/>
      <c r="HA14" s="154" t="s">
        <v>227</v>
      </c>
      <c r="HB14" s="155"/>
      <c r="HC14" s="155"/>
      <c r="HD14" s="155"/>
      <c r="HE14" s="155"/>
      <c r="HF14" s="155"/>
      <c r="HG14" s="155"/>
      <c r="HH14" s="156"/>
      <c r="HI14" s="141" t="s">
        <v>235</v>
      </c>
      <c r="HJ14" s="142"/>
      <c r="HK14" s="142"/>
      <c r="HL14" s="142"/>
      <c r="HM14" s="142"/>
      <c r="HN14" s="143"/>
      <c r="HO14" s="189"/>
      <c r="HP14" s="190"/>
      <c r="HQ14" s="14"/>
      <c r="HR14" s="191"/>
      <c r="HS14" s="192"/>
    </row>
    <row r="15" spans="1:227" ht="231.75" customHeight="1" x14ac:dyDescent="0.25">
      <c r="A15" s="157"/>
      <c r="B15" s="15" t="s">
        <v>16</v>
      </c>
      <c r="C15" s="15" t="s">
        <v>241</v>
      </c>
      <c r="D15" s="15" t="s">
        <v>242</v>
      </c>
      <c r="E15" s="15" t="s">
        <v>15</v>
      </c>
      <c r="F15" s="15" t="s">
        <v>45</v>
      </c>
      <c r="G15" s="20" t="s">
        <v>18</v>
      </c>
      <c r="H15" s="20" t="s">
        <v>19</v>
      </c>
      <c r="I15" s="20" t="s">
        <v>20</v>
      </c>
      <c r="J15" s="20" t="s">
        <v>17</v>
      </c>
      <c r="K15" s="25" t="s">
        <v>22</v>
      </c>
      <c r="L15" s="25" t="s">
        <v>23</v>
      </c>
      <c r="M15" s="25" t="s">
        <v>24</v>
      </c>
      <c r="N15" s="25" t="s">
        <v>25</v>
      </c>
      <c r="O15" s="25" t="s">
        <v>21</v>
      </c>
      <c r="P15" s="12" t="s">
        <v>26</v>
      </c>
      <c r="Q15" s="12" t="s">
        <v>27</v>
      </c>
      <c r="R15" s="12" t="s">
        <v>28</v>
      </c>
      <c r="S15" s="12" t="s">
        <v>29</v>
      </c>
      <c r="T15" s="12" t="s">
        <v>30</v>
      </c>
      <c r="U15" s="34" t="s">
        <v>31</v>
      </c>
      <c r="V15" s="34" t="s">
        <v>32</v>
      </c>
      <c r="W15" s="35" t="s">
        <v>34</v>
      </c>
      <c r="X15" s="34" t="s">
        <v>33</v>
      </c>
      <c r="Y15" s="39" t="s">
        <v>35</v>
      </c>
      <c r="Z15" s="39" t="s">
        <v>36</v>
      </c>
      <c r="AA15" s="39" t="s">
        <v>38</v>
      </c>
      <c r="AB15" s="39" t="s">
        <v>39</v>
      </c>
      <c r="AC15" s="39" t="s">
        <v>40</v>
      </c>
      <c r="AD15" s="15" t="s">
        <v>54</v>
      </c>
      <c r="AE15" s="15" t="s">
        <v>55</v>
      </c>
      <c r="AF15" s="15" t="s">
        <v>56</v>
      </c>
      <c r="AG15" s="15" t="s">
        <v>46</v>
      </c>
      <c r="AH15" s="15" t="s">
        <v>47</v>
      </c>
      <c r="AI15" s="51" t="s">
        <v>49</v>
      </c>
      <c r="AJ15" s="51" t="s">
        <v>50</v>
      </c>
      <c r="AK15" s="51" t="s">
        <v>51</v>
      </c>
      <c r="AL15" s="51" t="s">
        <v>52</v>
      </c>
      <c r="AM15" s="51" t="s">
        <v>53</v>
      </c>
      <c r="AN15" s="43" t="s">
        <v>61</v>
      </c>
      <c r="AO15" s="43" t="s">
        <v>58</v>
      </c>
      <c r="AP15" s="43" t="s">
        <v>59</v>
      </c>
      <c r="AQ15" s="43" t="s">
        <v>60</v>
      </c>
      <c r="AR15" s="43" t="s">
        <v>57</v>
      </c>
      <c r="AS15" s="34" t="s">
        <v>63</v>
      </c>
      <c r="AT15" s="34" t="s">
        <v>64</v>
      </c>
      <c r="AU15" s="34" t="s">
        <v>69</v>
      </c>
      <c r="AV15" s="34" t="s">
        <v>62</v>
      </c>
      <c r="AW15" s="55" t="s">
        <v>66</v>
      </c>
      <c r="AX15" s="55" t="s">
        <v>67</v>
      </c>
      <c r="AY15" s="55" t="s">
        <v>68</v>
      </c>
      <c r="AZ15" s="55" t="s">
        <v>65</v>
      </c>
      <c r="BA15" s="47" t="s">
        <v>71</v>
      </c>
      <c r="BB15" s="47" t="s">
        <v>72</v>
      </c>
      <c r="BC15" s="47" t="s">
        <v>73</v>
      </c>
      <c r="BD15" s="47" t="s">
        <v>74</v>
      </c>
      <c r="BE15" s="47" t="s">
        <v>70</v>
      </c>
      <c r="BF15" s="30" t="s">
        <v>76</v>
      </c>
      <c r="BG15" s="30" t="s">
        <v>77</v>
      </c>
      <c r="BH15" s="30" t="s">
        <v>78</v>
      </c>
      <c r="BI15" s="30" t="s">
        <v>75</v>
      </c>
      <c r="BJ15" s="25" t="s">
        <v>80</v>
      </c>
      <c r="BK15" s="25" t="s">
        <v>81</v>
      </c>
      <c r="BL15" s="25" t="s">
        <v>82</v>
      </c>
      <c r="BM15" s="25" t="s">
        <v>83</v>
      </c>
      <c r="BN15" s="25" t="s">
        <v>84</v>
      </c>
      <c r="BO15" s="25" t="s">
        <v>85</v>
      </c>
      <c r="BP15" s="60" t="s">
        <v>87</v>
      </c>
      <c r="BQ15" s="60" t="s">
        <v>89</v>
      </c>
      <c r="BR15" s="60" t="s">
        <v>88</v>
      </c>
      <c r="BS15" s="60" t="s">
        <v>90</v>
      </c>
      <c r="BT15" s="60" t="s">
        <v>86</v>
      </c>
      <c r="BU15" s="64" t="s">
        <v>92</v>
      </c>
      <c r="BV15" s="64" t="s">
        <v>93</v>
      </c>
      <c r="BW15" s="64" t="s">
        <v>94</v>
      </c>
      <c r="BX15" s="64" t="s">
        <v>95</v>
      </c>
      <c r="BY15" s="64" t="s">
        <v>91</v>
      </c>
      <c r="BZ15" s="30" t="s">
        <v>97</v>
      </c>
      <c r="CA15" s="30" t="s">
        <v>98</v>
      </c>
      <c r="CB15" s="30" t="s">
        <v>99</v>
      </c>
      <c r="CC15" s="30" t="s">
        <v>100</v>
      </c>
      <c r="CD15" s="30" t="s">
        <v>101</v>
      </c>
      <c r="CE15" s="69" t="s">
        <v>103</v>
      </c>
      <c r="CF15" s="69" t="s">
        <v>104</v>
      </c>
      <c r="CG15" s="69" t="s">
        <v>105</v>
      </c>
      <c r="CH15" s="69" t="s">
        <v>106</v>
      </c>
      <c r="CI15" s="69" t="s">
        <v>102</v>
      </c>
      <c r="CJ15" s="55" t="s">
        <v>108</v>
      </c>
      <c r="CK15" s="55" t="s">
        <v>129</v>
      </c>
      <c r="CL15" s="55" t="s">
        <v>109</v>
      </c>
      <c r="CM15" s="55" t="s">
        <v>110</v>
      </c>
      <c r="CN15" s="55" t="s">
        <v>111</v>
      </c>
      <c r="CO15" s="55" t="s">
        <v>112</v>
      </c>
      <c r="CP15" s="73" t="s">
        <v>114</v>
      </c>
      <c r="CQ15" s="73" t="s">
        <v>115</v>
      </c>
      <c r="CR15" s="73" t="s">
        <v>116</v>
      </c>
      <c r="CS15" s="73" t="s">
        <v>117</v>
      </c>
      <c r="CT15" s="73" t="s">
        <v>113</v>
      </c>
      <c r="CU15" s="8" t="s">
        <v>119</v>
      </c>
      <c r="CV15" s="8" t="s">
        <v>120</v>
      </c>
      <c r="CW15" s="8" t="s">
        <v>121</v>
      </c>
      <c r="CX15" s="8" t="s">
        <v>122</v>
      </c>
      <c r="CY15" s="8" t="s">
        <v>118</v>
      </c>
      <c r="CZ15" s="80" t="s">
        <v>124</v>
      </c>
      <c r="DA15" s="80" t="s">
        <v>125</v>
      </c>
      <c r="DB15" s="80" t="s">
        <v>126</v>
      </c>
      <c r="DC15" s="80" t="s">
        <v>127</v>
      </c>
      <c r="DD15" s="80" t="s">
        <v>128</v>
      </c>
      <c r="DE15" s="84" t="s">
        <v>131</v>
      </c>
      <c r="DF15" s="84" t="s">
        <v>132</v>
      </c>
      <c r="DG15" s="84" t="s">
        <v>133</v>
      </c>
      <c r="DH15" s="84" t="s">
        <v>130</v>
      </c>
      <c r="DI15" s="15" t="s">
        <v>14</v>
      </c>
      <c r="DJ15" s="15" t="s">
        <v>135</v>
      </c>
      <c r="DK15" s="15" t="s">
        <v>136</v>
      </c>
      <c r="DL15" s="15" t="s">
        <v>137</v>
      </c>
      <c r="DM15" s="15" t="s">
        <v>134</v>
      </c>
      <c r="DN15" s="88" t="s">
        <v>13</v>
      </c>
      <c r="DO15" s="88" t="s">
        <v>139</v>
      </c>
      <c r="DP15" s="88" t="s">
        <v>140</v>
      </c>
      <c r="DQ15" s="88" t="s">
        <v>141</v>
      </c>
      <c r="DR15" s="88" t="s">
        <v>138</v>
      </c>
      <c r="DS15" s="51" t="s">
        <v>143</v>
      </c>
      <c r="DT15" s="51" t="s">
        <v>144</v>
      </c>
      <c r="DU15" s="51" t="s">
        <v>145</v>
      </c>
      <c r="DV15" s="51" t="s">
        <v>146</v>
      </c>
      <c r="DW15" s="51" t="s">
        <v>147</v>
      </c>
      <c r="DX15" s="51" t="s">
        <v>142</v>
      </c>
      <c r="DY15" s="30" t="s">
        <v>149</v>
      </c>
      <c r="DZ15" s="30" t="s">
        <v>150</v>
      </c>
      <c r="EA15" s="30" t="s">
        <v>151</v>
      </c>
      <c r="EB15" s="30" t="s">
        <v>148</v>
      </c>
      <c r="EC15" s="55" t="s">
        <v>153</v>
      </c>
      <c r="ED15" s="55" t="s">
        <v>154</v>
      </c>
      <c r="EE15" s="55" t="s">
        <v>155</v>
      </c>
      <c r="EF15" s="55" t="s">
        <v>156</v>
      </c>
      <c r="EG15" s="55" t="s">
        <v>157</v>
      </c>
      <c r="EH15" s="55" t="s">
        <v>152</v>
      </c>
      <c r="EI15" s="64" t="s">
        <v>159</v>
      </c>
      <c r="EJ15" s="64" t="s">
        <v>160</v>
      </c>
      <c r="EK15" s="64" t="s">
        <v>161</v>
      </c>
      <c r="EL15" s="64" t="s">
        <v>162</v>
      </c>
      <c r="EM15" s="64" t="s">
        <v>163</v>
      </c>
      <c r="EN15" s="64" t="s">
        <v>158</v>
      </c>
      <c r="EO15" s="69" t="s">
        <v>165</v>
      </c>
      <c r="EP15" s="69" t="s">
        <v>166</v>
      </c>
      <c r="EQ15" s="69" t="s">
        <v>167</v>
      </c>
      <c r="ER15" s="69" t="s">
        <v>168</v>
      </c>
      <c r="ES15" s="69" t="s">
        <v>164</v>
      </c>
      <c r="ET15" s="51" t="s">
        <v>170</v>
      </c>
      <c r="EU15" s="51" t="s">
        <v>171</v>
      </c>
      <c r="EV15" s="51" t="s">
        <v>172</v>
      </c>
      <c r="EW15" s="51" t="s">
        <v>173</v>
      </c>
      <c r="EX15" s="51" t="s">
        <v>169</v>
      </c>
      <c r="EY15" s="92" t="s">
        <v>175</v>
      </c>
      <c r="EZ15" s="92" t="s">
        <v>9</v>
      </c>
      <c r="FA15" s="92" t="s">
        <v>10</v>
      </c>
      <c r="FB15" s="92" t="s">
        <v>174</v>
      </c>
      <c r="FC15" s="92" t="s">
        <v>11</v>
      </c>
      <c r="FD15" s="92" t="s">
        <v>176</v>
      </c>
      <c r="FE15" s="92" t="s">
        <v>177</v>
      </c>
      <c r="FF15" s="92" t="s">
        <v>178</v>
      </c>
      <c r="FG15" s="107" t="s">
        <v>180</v>
      </c>
      <c r="FH15" s="107" t="s">
        <v>181</v>
      </c>
      <c r="FI15" s="107" t="s">
        <v>182</v>
      </c>
      <c r="FJ15" s="107" t="s">
        <v>183</v>
      </c>
      <c r="FK15" s="107" t="s">
        <v>184</v>
      </c>
      <c r="FL15" s="107" t="s">
        <v>185</v>
      </c>
      <c r="FM15" s="100" t="s">
        <v>190</v>
      </c>
      <c r="FN15" s="100" t="s">
        <v>187</v>
      </c>
      <c r="FO15" s="100" t="s">
        <v>188</v>
      </c>
      <c r="FP15" s="100" t="s">
        <v>189</v>
      </c>
      <c r="FQ15" s="100" t="s">
        <v>191</v>
      </c>
      <c r="FR15" s="100" t="s">
        <v>186</v>
      </c>
      <c r="FS15" s="96" t="s">
        <v>193</v>
      </c>
      <c r="FT15" s="96" t="s">
        <v>194</v>
      </c>
      <c r="FU15" s="96" t="s">
        <v>195</v>
      </c>
      <c r="FV15" s="96" t="s">
        <v>196</v>
      </c>
      <c r="FW15" s="96" t="s">
        <v>192</v>
      </c>
      <c r="FX15" s="15" t="s">
        <v>198</v>
      </c>
      <c r="FY15" s="15" t="s">
        <v>199</v>
      </c>
      <c r="FZ15" s="15" t="s">
        <v>200</v>
      </c>
      <c r="GA15" s="15" t="s">
        <v>201</v>
      </c>
      <c r="GB15" s="15" t="s">
        <v>202</v>
      </c>
      <c r="GC15" s="15" t="s">
        <v>197</v>
      </c>
      <c r="GD15" s="55" t="s">
        <v>211</v>
      </c>
      <c r="GE15" s="55" t="s">
        <v>204</v>
      </c>
      <c r="GF15" s="55" t="s">
        <v>205</v>
      </c>
      <c r="GG15" s="55" t="s">
        <v>206</v>
      </c>
      <c r="GH15" s="55" t="s">
        <v>210</v>
      </c>
      <c r="GI15" s="55" t="s">
        <v>207</v>
      </c>
      <c r="GJ15" s="55" t="s">
        <v>208</v>
      </c>
      <c r="GK15" s="55" t="s">
        <v>209</v>
      </c>
      <c r="GL15" s="104" t="s">
        <v>213</v>
      </c>
      <c r="GM15" s="104" t="s">
        <v>214</v>
      </c>
      <c r="GN15" s="104" t="s">
        <v>217</v>
      </c>
      <c r="GO15" s="104" t="s">
        <v>215</v>
      </c>
      <c r="GP15" s="104" t="s">
        <v>216</v>
      </c>
      <c r="GQ15" s="104" t="s">
        <v>212</v>
      </c>
      <c r="GR15" s="15" t="s">
        <v>224</v>
      </c>
      <c r="GS15" s="15" t="s">
        <v>219</v>
      </c>
      <c r="GT15" s="15" t="s">
        <v>220</v>
      </c>
      <c r="GU15" s="15" t="s">
        <v>221</v>
      </c>
      <c r="GV15" s="15" t="s">
        <v>222</v>
      </c>
      <c r="GW15" s="15" t="s">
        <v>225</v>
      </c>
      <c r="GX15" s="15" t="s">
        <v>226</v>
      </c>
      <c r="GY15" s="15" t="s">
        <v>223</v>
      </c>
      <c r="GZ15" s="15" t="s">
        <v>218</v>
      </c>
      <c r="HA15" s="25" t="s">
        <v>228</v>
      </c>
      <c r="HB15" s="25" t="s">
        <v>229</v>
      </c>
      <c r="HC15" s="25" t="s">
        <v>230</v>
      </c>
      <c r="HD15" s="25" t="s">
        <v>231</v>
      </c>
      <c r="HE15" s="25" t="s">
        <v>232</v>
      </c>
      <c r="HF15" s="25" t="s">
        <v>233</v>
      </c>
      <c r="HG15" s="25" t="s">
        <v>234</v>
      </c>
      <c r="HH15" s="25" t="s">
        <v>227</v>
      </c>
      <c r="HI15" s="55" t="s">
        <v>236</v>
      </c>
      <c r="HJ15" s="55" t="s">
        <v>237</v>
      </c>
      <c r="HK15" s="55" t="s">
        <v>238</v>
      </c>
      <c r="HL15" s="55" t="s">
        <v>239</v>
      </c>
      <c r="HM15" s="55" t="s">
        <v>216</v>
      </c>
      <c r="HN15" s="55" t="s">
        <v>235</v>
      </c>
      <c r="HO15" s="189"/>
      <c r="HP15" s="190"/>
      <c r="HQ15" s="14" t="s">
        <v>12</v>
      </c>
      <c r="HR15" s="191"/>
      <c r="HS15" s="193"/>
    </row>
    <row r="16" spans="1:227" ht="48" customHeight="1" x14ac:dyDescent="0.25">
      <c r="A16" s="157"/>
      <c r="B16" s="16">
        <v>1</v>
      </c>
      <c r="C16" s="16">
        <v>1</v>
      </c>
      <c r="D16" s="16">
        <v>1</v>
      </c>
      <c r="E16" s="16">
        <v>1</v>
      </c>
      <c r="F16" s="19">
        <f>SUMPRODUCT(B16:E16,B17:E17)</f>
        <v>1</v>
      </c>
      <c r="G16" s="21">
        <v>1</v>
      </c>
      <c r="H16" s="21">
        <v>1</v>
      </c>
      <c r="I16" s="21">
        <v>1</v>
      </c>
      <c r="J16" s="19">
        <f>SUMPRODUCT(G16:I16,G17:I17)</f>
        <v>1</v>
      </c>
      <c r="K16" s="26">
        <v>1</v>
      </c>
      <c r="L16" s="26">
        <v>1</v>
      </c>
      <c r="M16" s="26">
        <v>1</v>
      </c>
      <c r="N16" s="26">
        <v>1</v>
      </c>
      <c r="O16" s="19">
        <f>SUMPRODUCT(K16:N16,K17:N17)</f>
        <v>1</v>
      </c>
      <c r="P16" s="13">
        <v>0</v>
      </c>
      <c r="Q16" s="13">
        <v>1</v>
      </c>
      <c r="R16" s="13">
        <v>1</v>
      </c>
      <c r="S16" s="13">
        <v>1</v>
      </c>
      <c r="T16" s="19">
        <f>SUMPRODUCT(P16:S16,P17:S17)</f>
        <v>0.75</v>
      </c>
      <c r="U16" s="36">
        <v>0</v>
      </c>
      <c r="V16" s="36">
        <v>1</v>
      </c>
      <c r="W16" s="36">
        <v>1</v>
      </c>
      <c r="X16" s="19">
        <f>SUMPRODUCT(U16:W16,U17:W17)</f>
        <v>0.8</v>
      </c>
      <c r="Y16" s="40">
        <v>1</v>
      </c>
      <c r="Z16" s="40">
        <v>0</v>
      </c>
      <c r="AA16" s="40">
        <v>1</v>
      </c>
      <c r="AB16" s="40">
        <v>1</v>
      </c>
      <c r="AC16" s="19">
        <f>SUMPRODUCT(Y16:AB16,Y17:AB17)</f>
        <v>0.95</v>
      </c>
      <c r="AD16" s="16">
        <v>1</v>
      </c>
      <c r="AE16" s="16">
        <v>1</v>
      </c>
      <c r="AF16" s="16">
        <v>1</v>
      </c>
      <c r="AG16" s="16">
        <v>0</v>
      </c>
      <c r="AH16" s="19">
        <f>SUMPRODUCT(AD16:AG16,AD17:AG17)</f>
        <v>0.8</v>
      </c>
      <c r="AI16" s="52">
        <v>1</v>
      </c>
      <c r="AJ16" s="52">
        <v>1</v>
      </c>
      <c r="AK16" s="52">
        <v>1</v>
      </c>
      <c r="AL16" s="52">
        <v>0</v>
      </c>
      <c r="AM16" s="19">
        <f>SUMPRODUCT(AI16:AL16,AI17:AL17)</f>
        <v>0.89999999999999991</v>
      </c>
      <c r="AN16" s="44">
        <v>1</v>
      </c>
      <c r="AO16" s="44">
        <v>1</v>
      </c>
      <c r="AP16" s="44">
        <v>1</v>
      </c>
      <c r="AQ16" s="44">
        <v>1</v>
      </c>
      <c r="AR16" s="19">
        <f>SUMPRODUCT(AN16:AQ16,AN17:AQ17)</f>
        <v>0.6</v>
      </c>
      <c r="AS16" s="36">
        <v>1</v>
      </c>
      <c r="AT16" s="36">
        <v>1</v>
      </c>
      <c r="AU16" s="36">
        <v>1</v>
      </c>
      <c r="AV16" s="19">
        <f>SUMPRODUCT(AS16:AU16,AS17:AU17)</f>
        <v>1</v>
      </c>
      <c r="AW16" s="56">
        <v>1</v>
      </c>
      <c r="AX16" s="56">
        <v>1</v>
      </c>
      <c r="AY16" s="56">
        <v>1</v>
      </c>
      <c r="AZ16" s="19">
        <f>SUMPRODUCT(AW16:AY16,AW17:AY17)</f>
        <v>1</v>
      </c>
      <c r="BA16" s="48">
        <v>1</v>
      </c>
      <c r="BB16" s="48">
        <v>1</v>
      </c>
      <c r="BC16" s="48">
        <v>1</v>
      </c>
      <c r="BD16" s="48">
        <v>1</v>
      </c>
      <c r="BE16" s="19">
        <f>SUMPRODUCT(BA16:BD16,BA17:BD17)</f>
        <v>0.8</v>
      </c>
      <c r="BF16" s="31">
        <v>1</v>
      </c>
      <c r="BG16" s="31">
        <v>1</v>
      </c>
      <c r="BH16" s="31">
        <v>1</v>
      </c>
      <c r="BI16" s="19">
        <f>SUMPRODUCT(BF16:BH16,BF17:BH17)</f>
        <v>0.8</v>
      </c>
      <c r="BJ16" s="26">
        <v>0</v>
      </c>
      <c r="BK16" s="26">
        <v>1</v>
      </c>
      <c r="BL16" s="26">
        <v>1</v>
      </c>
      <c r="BM16" s="26">
        <v>1</v>
      </c>
      <c r="BN16" s="26">
        <v>1</v>
      </c>
      <c r="BO16" s="19">
        <f>SUMPRODUCT(BJ16:BN16,BJ17:BN17)</f>
        <v>0.70000000000000007</v>
      </c>
      <c r="BP16" s="61">
        <v>1</v>
      </c>
      <c r="BQ16" s="61">
        <v>0</v>
      </c>
      <c r="BR16" s="61">
        <v>1</v>
      </c>
      <c r="BS16" s="61">
        <v>0</v>
      </c>
      <c r="BT16" s="19">
        <f>SUMPRODUCT(BP16:BS16,BP17:BS17)</f>
        <v>0.7</v>
      </c>
      <c r="BU16" s="29">
        <v>1</v>
      </c>
      <c r="BV16" s="29">
        <v>0</v>
      </c>
      <c r="BW16" s="29">
        <v>1</v>
      </c>
      <c r="BX16" s="29">
        <v>1</v>
      </c>
      <c r="BY16" s="19">
        <f>SUMPRODUCT(BU16:BX16,BU17:BX17)</f>
        <v>0.85000000000000009</v>
      </c>
      <c r="BZ16" s="31">
        <v>1</v>
      </c>
      <c r="CA16" s="31">
        <v>0</v>
      </c>
      <c r="CB16" s="31">
        <v>1</v>
      </c>
      <c r="CC16" s="31">
        <v>1</v>
      </c>
      <c r="CD16" s="19">
        <f>SUMPRODUCT(BZ16:CC16,BZ17:CC17)</f>
        <v>0.79999999999999993</v>
      </c>
      <c r="CE16" s="70">
        <v>1</v>
      </c>
      <c r="CF16" s="70">
        <v>1</v>
      </c>
      <c r="CG16" s="70">
        <v>0</v>
      </c>
      <c r="CH16" s="70">
        <v>1</v>
      </c>
      <c r="CI16" s="19">
        <f>SUMPRODUCT(CE16:CH16,CE17:CH17)</f>
        <v>0.79999999999999993</v>
      </c>
      <c r="CJ16" s="56">
        <v>1</v>
      </c>
      <c r="CK16" s="56">
        <v>1</v>
      </c>
      <c r="CL16" s="56">
        <v>1</v>
      </c>
      <c r="CM16" s="56">
        <v>0</v>
      </c>
      <c r="CN16" s="56">
        <v>1</v>
      </c>
      <c r="CO16" s="19">
        <f>SUMPRODUCT(CJ16:CN16,CJ17:CN17)</f>
        <v>0.79999999999999993</v>
      </c>
      <c r="CP16" s="74">
        <v>1</v>
      </c>
      <c r="CQ16" s="74">
        <v>0</v>
      </c>
      <c r="CR16" s="74">
        <v>0</v>
      </c>
      <c r="CS16" s="74">
        <v>1</v>
      </c>
      <c r="CT16" s="19">
        <f>SUMPRODUCT(CP16:CS16,CP17:CS17)</f>
        <v>0.8</v>
      </c>
      <c r="CU16" s="77">
        <v>1</v>
      </c>
      <c r="CV16" s="77">
        <v>0</v>
      </c>
      <c r="CW16" s="77">
        <v>1</v>
      </c>
      <c r="CX16" s="77">
        <v>1</v>
      </c>
      <c r="CY16" s="19">
        <f>SUMPRODUCT(CU16:CX16,CU17:CX17)</f>
        <v>0.85</v>
      </c>
      <c r="CZ16" s="81">
        <v>1</v>
      </c>
      <c r="DA16" s="81">
        <v>1</v>
      </c>
      <c r="DB16" s="81">
        <v>0</v>
      </c>
      <c r="DC16" s="81">
        <v>1</v>
      </c>
      <c r="DD16" s="19">
        <f>SUMPRODUCT(CZ16:DC16,CZ17:DC17)</f>
        <v>0.8</v>
      </c>
      <c r="DE16" s="85">
        <v>0</v>
      </c>
      <c r="DF16" s="85">
        <v>1</v>
      </c>
      <c r="DG16" s="85">
        <v>0</v>
      </c>
      <c r="DH16" s="19">
        <f>SUMPRODUCT(DE16:DG16,DE17:DG17)</f>
        <v>0.7</v>
      </c>
      <c r="DI16" s="16">
        <v>1</v>
      </c>
      <c r="DJ16" s="16">
        <v>0</v>
      </c>
      <c r="DK16" s="16">
        <v>0</v>
      </c>
      <c r="DL16" s="16">
        <v>1</v>
      </c>
      <c r="DM16" s="19">
        <f>SUMPRODUCT(DI16:DL16,DI17:DL17)</f>
        <v>0.7</v>
      </c>
      <c r="DN16" s="89">
        <v>1</v>
      </c>
      <c r="DO16" s="89">
        <v>0</v>
      </c>
      <c r="DP16" s="89">
        <v>0</v>
      </c>
      <c r="DQ16" s="89">
        <v>1</v>
      </c>
      <c r="DR16" s="19">
        <f>SUMPRODUCT(DN16:DQ16,DN17:DQ17)</f>
        <v>0.8</v>
      </c>
      <c r="DS16" s="52">
        <v>1</v>
      </c>
      <c r="DT16" s="52">
        <v>1</v>
      </c>
      <c r="DU16" s="52">
        <v>0</v>
      </c>
      <c r="DV16" s="52">
        <v>1</v>
      </c>
      <c r="DW16" s="52">
        <v>1</v>
      </c>
      <c r="DX16" s="19">
        <f>SUMPRODUCT(DS16:DW16,DS17:DW17)</f>
        <v>0.79999999999999993</v>
      </c>
      <c r="DY16" s="31">
        <v>1</v>
      </c>
      <c r="DZ16" s="31">
        <v>1</v>
      </c>
      <c r="EA16" s="31">
        <v>0</v>
      </c>
      <c r="EB16" s="19">
        <f>SUMPRODUCT(DY16:EA16,DY17:EA17)</f>
        <v>0.7</v>
      </c>
      <c r="EC16" s="56">
        <v>1</v>
      </c>
      <c r="ED16" s="56">
        <v>1</v>
      </c>
      <c r="EE16" s="56">
        <v>1</v>
      </c>
      <c r="EF16" s="56">
        <v>0</v>
      </c>
      <c r="EG16" s="56">
        <v>1</v>
      </c>
      <c r="EH16" s="19">
        <f>SUMPRODUCT(EC16:EG16,EC17:EG17)</f>
        <v>0.8</v>
      </c>
      <c r="EI16" s="29">
        <v>1</v>
      </c>
      <c r="EJ16" s="29">
        <v>1</v>
      </c>
      <c r="EK16" s="29">
        <v>1</v>
      </c>
      <c r="EL16" s="29">
        <v>0</v>
      </c>
      <c r="EM16" s="29">
        <v>1</v>
      </c>
      <c r="EN16" s="19">
        <f>SUMPRODUCT(EI16:EM16,EI17:EM17)</f>
        <v>0.79999999999999993</v>
      </c>
      <c r="EO16" s="70">
        <v>0</v>
      </c>
      <c r="EP16" s="70">
        <v>1</v>
      </c>
      <c r="EQ16" s="70">
        <v>1</v>
      </c>
      <c r="ER16" s="70">
        <v>1</v>
      </c>
      <c r="ES16" s="19">
        <f>SUMPRODUCT(EO16:ER16,EO17:ER17)</f>
        <v>0.70000000000000007</v>
      </c>
      <c r="ET16" s="52">
        <v>0</v>
      </c>
      <c r="EU16" s="52">
        <v>1</v>
      </c>
      <c r="EV16" s="52">
        <v>0</v>
      </c>
      <c r="EW16" s="52">
        <v>0</v>
      </c>
      <c r="EX16" s="19">
        <f>SUMPRODUCT(ET16:EW16,ET17:EW17)</f>
        <v>0.7</v>
      </c>
      <c r="EY16" s="93">
        <v>1</v>
      </c>
      <c r="EZ16" s="93">
        <v>1</v>
      </c>
      <c r="FA16" s="93">
        <v>1</v>
      </c>
      <c r="FB16" s="93">
        <v>1</v>
      </c>
      <c r="FC16" s="93">
        <v>0</v>
      </c>
      <c r="FD16" s="93">
        <v>1</v>
      </c>
      <c r="FE16" s="93">
        <v>1</v>
      </c>
      <c r="FF16" s="19">
        <f>SUMPRODUCT(EY16:FE16,EY17:FE17)</f>
        <v>0.6</v>
      </c>
      <c r="FG16" s="108">
        <v>1</v>
      </c>
      <c r="FH16" s="108">
        <v>1</v>
      </c>
      <c r="FI16" s="108">
        <v>1</v>
      </c>
      <c r="FJ16" s="108">
        <v>1</v>
      </c>
      <c r="FK16" s="108">
        <v>0</v>
      </c>
      <c r="FL16" s="19">
        <f>SUMPRODUCT(FG16:FK16,FG17:FK17)</f>
        <v>0.89999999999999991</v>
      </c>
      <c r="FM16" s="101">
        <v>1</v>
      </c>
      <c r="FN16" s="101">
        <v>1</v>
      </c>
      <c r="FO16" s="101">
        <v>0</v>
      </c>
      <c r="FP16" s="101">
        <v>0</v>
      </c>
      <c r="FQ16" s="101">
        <v>1</v>
      </c>
      <c r="FR16" s="19">
        <f>SUMPRODUCT(FM16:FQ16,FM17:FQ17)</f>
        <v>0.8</v>
      </c>
      <c r="FS16" s="97">
        <v>1</v>
      </c>
      <c r="FT16" s="97">
        <v>0</v>
      </c>
      <c r="FU16" s="97">
        <v>1</v>
      </c>
      <c r="FV16" s="97">
        <v>1</v>
      </c>
      <c r="FW16" s="19">
        <f>SUMPRODUCT(FS16:FV16,FS17:FV17)</f>
        <v>0.8</v>
      </c>
      <c r="FX16" s="16">
        <v>1</v>
      </c>
      <c r="FY16" s="16">
        <v>1</v>
      </c>
      <c r="FZ16" s="16">
        <v>1</v>
      </c>
      <c r="GA16" s="16">
        <v>1</v>
      </c>
      <c r="GB16" s="16">
        <v>0</v>
      </c>
      <c r="GC16" s="19">
        <f>SUMPRODUCT(FX16:GB16,FX17:GB17)</f>
        <v>0.85000000000000009</v>
      </c>
      <c r="GD16" s="56">
        <v>1</v>
      </c>
      <c r="GE16" s="56">
        <v>0</v>
      </c>
      <c r="GF16" s="56">
        <v>1</v>
      </c>
      <c r="GG16" s="56">
        <v>0</v>
      </c>
      <c r="GH16" s="56">
        <v>1</v>
      </c>
      <c r="GI16" s="56">
        <v>1</v>
      </c>
      <c r="GJ16" s="56">
        <v>1</v>
      </c>
      <c r="GK16" s="19">
        <f>SUMPRODUCT(GD16:GJ16,GD17:GJ17)</f>
        <v>0.8</v>
      </c>
      <c r="GL16" s="105">
        <v>1</v>
      </c>
      <c r="GM16" s="105">
        <v>1</v>
      </c>
      <c r="GN16" s="105">
        <v>1</v>
      </c>
      <c r="GO16" s="105">
        <v>1</v>
      </c>
      <c r="GP16" s="105">
        <v>1</v>
      </c>
      <c r="GQ16" s="19">
        <f>SUMPRODUCT(GL16:GP16,GL17:GP17)</f>
        <v>0.60000000000000009</v>
      </c>
      <c r="GR16" s="16">
        <v>1</v>
      </c>
      <c r="GS16" s="16">
        <v>1</v>
      </c>
      <c r="GT16" s="16">
        <v>1</v>
      </c>
      <c r="GU16" s="16">
        <v>1</v>
      </c>
      <c r="GV16" s="16">
        <v>1</v>
      </c>
      <c r="GW16" s="16">
        <v>1</v>
      </c>
      <c r="GX16" s="16">
        <v>0</v>
      </c>
      <c r="GY16" s="16">
        <v>0</v>
      </c>
      <c r="GZ16" s="19">
        <f>SUMPRODUCT(GR16:GY16,GR17:GY17)</f>
        <v>0.85000000000000009</v>
      </c>
      <c r="HA16" s="26">
        <v>0</v>
      </c>
      <c r="HB16" s="26">
        <v>0</v>
      </c>
      <c r="HC16" s="26">
        <v>1</v>
      </c>
      <c r="HD16" s="26">
        <v>0</v>
      </c>
      <c r="HE16" s="26">
        <v>0</v>
      </c>
      <c r="HF16" s="26">
        <v>1</v>
      </c>
      <c r="HG16" s="26">
        <v>1</v>
      </c>
      <c r="HH16" s="19">
        <f>SUMPRODUCT(HA16:HG16,HA17:HG17)</f>
        <v>0.35</v>
      </c>
      <c r="HI16" s="56">
        <v>1</v>
      </c>
      <c r="HJ16" s="56">
        <v>1</v>
      </c>
      <c r="HK16" s="56">
        <v>1</v>
      </c>
      <c r="HL16" s="56">
        <v>0</v>
      </c>
      <c r="HM16" s="56">
        <v>0</v>
      </c>
      <c r="HN16" s="19">
        <f>SUMPRODUCT(HI16:HM16,HI17:HM17)</f>
        <v>0.6</v>
      </c>
      <c r="HO16" s="189"/>
      <c r="HP16" s="190"/>
      <c r="HQ16" s="14"/>
      <c r="HR16" s="191"/>
      <c r="HS16" s="193"/>
    </row>
    <row r="17" spans="1:227" ht="39" customHeight="1" x14ac:dyDescent="0.25">
      <c r="A17" s="9">
        <v>2020</v>
      </c>
      <c r="B17" s="17">
        <v>0.3</v>
      </c>
      <c r="C17" s="17">
        <v>0.2</v>
      </c>
      <c r="D17" s="17">
        <v>0.3</v>
      </c>
      <c r="E17" s="17">
        <v>0.2</v>
      </c>
      <c r="F17" s="18"/>
      <c r="G17" s="22">
        <v>0.2</v>
      </c>
      <c r="H17" s="22">
        <v>0.5</v>
      </c>
      <c r="I17" s="22">
        <v>0.3</v>
      </c>
      <c r="J17" s="23"/>
      <c r="K17" s="27">
        <v>0.25</v>
      </c>
      <c r="L17" s="27">
        <v>0.1</v>
      </c>
      <c r="M17" s="27">
        <v>0.15</v>
      </c>
      <c r="N17" s="27">
        <v>0.5</v>
      </c>
      <c r="O17" s="28"/>
      <c r="P17" s="33">
        <v>-0.15</v>
      </c>
      <c r="Q17" s="33">
        <v>-0.05</v>
      </c>
      <c r="R17" s="33">
        <v>0.5</v>
      </c>
      <c r="S17" s="33">
        <v>0.3</v>
      </c>
      <c r="T17" s="33"/>
      <c r="U17" s="37">
        <v>-0.2</v>
      </c>
      <c r="V17" s="37">
        <v>0.5</v>
      </c>
      <c r="W17" s="37">
        <v>0.3</v>
      </c>
      <c r="X17" s="38"/>
      <c r="Y17" s="41">
        <v>0.3</v>
      </c>
      <c r="Z17" s="41">
        <v>-0.05</v>
      </c>
      <c r="AA17" s="41">
        <v>0.2</v>
      </c>
      <c r="AB17" s="41">
        <v>0.45</v>
      </c>
      <c r="AC17" s="42"/>
      <c r="AD17" s="17">
        <v>0.4</v>
      </c>
      <c r="AE17" s="17">
        <v>0.15</v>
      </c>
      <c r="AF17" s="17">
        <v>0.25</v>
      </c>
      <c r="AG17" s="17">
        <v>-0.2</v>
      </c>
      <c r="AH17" s="18"/>
      <c r="AI17" s="53">
        <v>0.5</v>
      </c>
      <c r="AJ17" s="53">
        <v>0.1</v>
      </c>
      <c r="AK17" s="53">
        <v>0.3</v>
      </c>
      <c r="AL17" s="53">
        <v>-0.1</v>
      </c>
      <c r="AM17" s="54"/>
      <c r="AN17" s="45">
        <v>0.3</v>
      </c>
      <c r="AO17" s="45">
        <v>0.2</v>
      </c>
      <c r="AP17" s="45">
        <v>-0.2</v>
      </c>
      <c r="AQ17" s="45">
        <v>0.3</v>
      </c>
      <c r="AR17" s="46"/>
      <c r="AS17" s="37">
        <v>0.4</v>
      </c>
      <c r="AT17" s="37">
        <v>0.3</v>
      </c>
      <c r="AU17" s="37">
        <v>0.3</v>
      </c>
      <c r="AV17" s="38"/>
      <c r="AW17" s="57">
        <v>0.4</v>
      </c>
      <c r="AX17" s="57">
        <v>0.3</v>
      </c>
      <c r="AY17" s="57">
        <v>0.3</v>
      </c>
      <c r="AZ17" s="58"/>
      <c r="BA17" s="49">
        <v>0.4</v>
      </c>
      <c r="BB17" s="49">
        <v>-0.1</v>
      </c>
      <c r="BC17" s="49">
        <v>0.3</v>
      </c>
      <c r="BD17" s="49">
        <v>0.2</v>
      </c>
      <c r="BE17" s="50"/>
      <c r="BF17" s="32">
        <v>0.5</v>
      </c>
      <c r="BG17" s="32">
        <v>0.4</v>
      </c>
      <c r="BH17" s="32">
        <v>-0.1</v>
      </c>
      <c r="BI17" s="59"/>
      <c r="BJ17" s="27">
        <v>-0.1</v>
      </c>
      <c r="BK17" s="27">
        <v>0.4</v>
      </c>
      <c r="BL17" s="27">
        <v>0.15</v>
      </c>
      <c r="BM17" s="27">
        <v>-0.1</v>
      </c>
      <c r="BN17" s="27">
        <v>0.25</v>
      </c>
      <c r="BO17" s="28"/>
      <c r="BP17" s="62">
        <v>0.4</v>
      </c>
      <c r="BQ17" s="62">
        <v>-0.1</v>
      </c>
      <c r="BR17" s="62">
        <v>0.3</v>
      </c>
      <c r="BS17" s="62">
        <v>-0.2</v>
      </c>
      <c r="BT17" s="63"/>
      <c r="BU17" s="65">
        <v>0.4</v>
      </c>
      <c r="BV17" s="65">
        <v>-0.15</v>
      </c>
      <c r="BW17" s="65">
        <v>0.25</v>
      </c>
      <c r="BX17" s="65">
        <v>0.2</v>
      </c>
      <c r="BY17" s="66"/>
      <c r="BZ17" s="32">
        <v>0.4</v>
      </c>
      <c r="CA17" s="32">
        <v>-0.2</v>
      </c>
      <c r="CB17" s="32">
        <v>0.3</v>
      </c>
      <c r="CC17" s="32">
        <v>0.1</v>
      </c>
      <c r="CD17" s="59"/>
      <c r="CE17" s="71">
        <v>0.4</v>
      </c>
      <c r="CF17" s="71">
        <v>0.3</v>
      </c>
      <c r="CG17" s="71">
        <v>-0.2</v>
      </c>
      <c r="CH17" s="71">
        <v>0.1</v>
      </c>
      <c r="CI17" s="72"/>
      <c r="CJ17" s="57">
        <v>0.3</v>
      </c>
      <c r="CK17" s="57">
        <v>0.1</v>
      </c>
      <c r="CL17" s="57">
        <v>0.3</v>
      </c>
      <c r="CM17" s="57">
        <v>-0.2</v>
      </c>
      <c r="CN17" s="57">
        <v>0.1</v>
      </c>
      <c r="CO17" s="58"/>
      <c r="CP17" s="75">
        <v>0.4</v>
      </c>
      <c r="CQ17" s="75">
        <v>-0.1</v>
      </c>
      <c r="CR17" s="75">
        <v>-0.1</v>
      </c>
      <c r="CS17" s="75">
        <v>0.4</v>
      </c>
      <c r="CT17" s="76"/>
      <c r="CU17" s="78">
        <v>0.3</v>
      </c>
      <c r="CV17" s="78">
        <v>-0.15</v>
      </c>
      <c r="CW17" s="78">
        <v>0.4</v>
      </c>
      <c r="CX17" s="78">
        <v>0.15</v>
      </c>
      <c r="CY17" s="79"/>
      <c r="CZ17" s="82">
        <v>0.3</v>
      </c>
      <c r="DA17" s="82">
        <v>0.2</v>
      </c>
      <c r="DB17" s="82">
        <v>-0.2</v>
      </c>
      <c r="DC17" s="82">
        <v>0.3</v>
      </c>
      <c r="DD17" s="83"/>
      <c r="DE17" s="86">
        <v>-0.1</v>
      </c>
      <c r="DF17" s="86">
        <v>0.7</v>
      </c>
      <c r="DG17" s="86">
        <v>-0.2</v>
      </c>
      <c r="DH17" s="87"/>
      <c r="DI17" s="17">
        <v>0.5</v>
      </c>
      <c r="DJ17" s="17">
        <v>-0.2</v>
      </c>
      <c r="DK17" s="17">
        <v>-0.1</v>
      </c>
      <c r="DL17" s="17">
        <v>0.2</v>
      </c>
      <c r="DM17" s="18"/>
      <c r="DN17" s="90">
        <v>0.4</v>
      </c>
      <c r="DO17" s="90">
        <v>-0.1</v>
      </c>
      <c r="DP17" s="90">
        <v>-0.1</v>
      </c>
      <c r="DQ17" s="90">
        <v>0.4</v>
      </c>
      <c r="DR17" s="91"/>
      <c r="DS17" s="53">
        <v>0.3</v>
      </c>
      <c r="DT17" s="53">
        <v>0.2</v>
      </c>
      <c r="DU17" s="53">
        <v>-0.2</v>
      </c>
      <c r="DV17" s="53">
        <v>0.2</v>
      </c>
      <c r="DW17" s="53">
        <v>0.1</v>
      </c>
      <c r="DX17" s="54"/>
      <c r="DY17" s="32">
        <v>0.4</v>
      </c>
      <c r="DZ17" s="32">
        <v>0.3</v>
      </c>
      <c r="EA17" s="32">
        <v>-0.3</v>
      </c>
      <c r="EB17" s="59"/>
      <c r="EC17" s="57">
        <v>0.4</v>
      </c>
      <c r="ED17" s="57">
        <v>0.2</v>
      </c>
      <c r="EE17" s="57">
        <v>0.1</v>
      </c>
      <c r="EF17" s="57">
        <v>-0.2</v>
      </c>
      <c r="EG17" s="57">
        <v>0.1</v>
      </c>
      <c r="EH17" s="57"/>
      <c r="EI17" s="65">
        <v>0.3</v>
      </c>
      <c r="EJ17" s="65">
        <v>0.2</v>
      </c>
      <c r="EK17" s="65">
        <v>0.2</v>
      </c>
      <c r="EL17" s="65">
        <v>-0.2</v>
      </c>
      <c r="EM17" s="65">
        <v>0.1</v>
      </c>
      <c r="EN17" s="66"/>
      <c r="EO17" s="71">
        <v>0.3</v>
      </c>
      <c r="EP17" s="71">
        <v>0.4</v>
      </c>
      <c r="EQ17" s="71">
        <v>0.2</v>
      </c>
      <c r="ER17" s="71">
        <v>0.1</v>
      </c>
      <c r="ES17" s="72"/>
      <c r="ET17" s="53">
        <v>-0.15</v>
      </c>
      <c r="EU17" s="53">
        <v>0.7</v>
      </c>
      <c r="EV17" s="53">
        <v>-0.1</v>
      </c>
      <c r="EW17" s="53">
        <v>-0.05</v>
      </c>
      <c r="EX17" s="54"/>
      <c r="EY17" s="94">
        <v>0.2</v>
      </c>
      <c r="EZ17" s="94">
        <v>0.2</v>
      </c>
      <c r="FA17" s="94">
        <v>0.1</v>
      </c>
      <c r="FB17" s="94">
        <v>-0.1</v>
      </c>
      <c r="FC17" s="94">
        <v>0.2</v>
      </c>
      <c r="FD17" s="94">
        <v>0.1</v>
      </c>
      <c r="FE17" s="94">
        <v>0.1</v>
      </c>
      <c r="FF17" s="95"/>
      <c r="FG17" s="109">
        <v>0.25</v>
      </c>
      <c r="FH17" s="109">
        <v>0.2</v>
      </c>
      <c r="FI17" s="109">
        <v>0.15</v>
      </c>
      <c r="FJ17" s="109">
        <v>0.3</v>
      </c>
      <c r="FK17" s="109">
        <v>-0.1</v>
      </c>
      <c r="FL17" s="110"/>
      <c r="FM17" s="102">
        <v>0.3</v>
      </c>
      <c r="FN17" s="102">
        <v>0.2</v>
      </c>
      <c r="FO17" s="102">
        <v>-0.1</v>
      </c>
      <c r="FP17" s="102">
        <v>-0.1</v>
      </c>
      <c r="FQ17" s="102">
        <v>0.3</v>
      </c>
      <c r="FR17" s="103"/>
      <c r="FS17" s="98">
        <v>0.35</v>
      </c>
      <c r="FT17" s="98">
        <v>-0.2</v>
      </c>
      <c r="FU17" s="98">
        <v>0.15</v>
      </c>
      <c r="FV17" s="98">
        <v>0.3</v>
      </c>
      <c r="FW17" s="99"/>
      <c r="FX17" s="17">
        <v>0.25</v>
      </c>
      <c r="FY17" s="17">
        <v>0.2</v>
      </c>
      <c r="FZ17" s="17">
        <v>0.2</v>
      </c>
      <c r="GA17" s="17">
        <v>0.2</v>
      </c>
      <c r="GB17" s="17">
        <v>-0.15</v>
      </c>
      <c r="GC17" s="18"/>
      <c r="GD17" s="57">
        <v>0.2</v>
      </c>
      <c r="GE17" s="57">
        <v>-0.1</v>
      </c>
      <c r="GF17" s="57">
        <v>0.2</v>
      </c>
      <c r="GG17" s="57">
        <v>-0.1</v>
      </c>
      <c r="GH17" s="57">
        <v>0.1</v>
      </c>
      <c r="GI17" s="57">
        <v>0.1</v>
      </c>
      <c r="GJ17" s="57">
        <v>0.2</v>
      </c>
      <c r="GK17" s="57"/>
      <c r="GL17" s="106">
        <v>0.3</v>
      </c>
      <c r="GM17" s="106">
        <v>0.2</v>
      </c>
      <c r="GN17" s="106">
        <v>0.3</v>
      </c>
      <c r="GO17" s="106">
        <v>-0.1</v>
      </c>
      <c r="GP17" s="106">
        <v>-0.1</v>
      </c>
      <c r="GQ17" s="106"/>
      <c r="GR17" s="17">
        <v>0.15</v>
      </c>
      <c r="GS17" s="17">
        <v>0.1</v>
      </c>
      <c r="GT17" s="17">
        <v>0.15</v>
      </c>
      <c r="GU17" s="17">
        <v>0.15</v>
      </c>
      <c r="GV17" s="17">
        <v>0.15</v>
      </c>
      <c r="GW17" s="17">
        <v>0.15</v>
      </c>
      <c r="GX17" s="17">
        <v>0.1</v>
      </c>
      <c r="GY17" s="17">
        <v>-0.05</v>
      </c>
      <c r="GZ17" s="18"/>
      <c r="HA17" s="27">
        <v>0.2</v>
      </c>
      <c r="HB17" s="27">
        <v>0.2</v>
      </c>
      <c r="HC17" s="27">
        <v>0.15</v>
      </c>
      <c r="HD17" s="27">
        <v>0.15</v>
      </c>
      <c r="HE17" s="27">
        <v>-0.1</v>
      </c>
      <c r="HF17" s="27">
        <v>0.1</v>
      </c>
      <c r="HG17" s="27">
        <v>0.1</v>
      </c>
      <c r="HH17" s="28"/>
      <c r="HI17" s="57">
        <v>0.3</v>
      </c>
      <c r="HJ17" s="57">
        <v>0.4</v>
      </c>
      <c r="HK17" s="57">
        <v>-0.1</v>
      </c>
      <c r="HL17" s="57">
        <v>-0.05</v>
      </c>
      <c r="HM17" s="57">
        <v>-0.05</v>
      </c>
      <c r="HN17" s="58"/>
      <c r="HO17" s="119">
        <f>(F16*F18)+(J16*J18)+(O16*O18)+(T16*T18)+(X16*X18)+(AC16*AC18)+(AH16*AH18)+(AM16*AM18)+(AR16*AR18)+(AV16*AV18)+(AZ16*AZ18)+(BE16*BE18)+(BI16*BI18)+(BO16*B18)+(BT16*BT18)+(BY16*BY18)+(CD16*CD18)+(CI16*CI18)</f>
        <v>0.80600000000000005</v>
      </c>
      <c r="HP17" s="117">
        <f>(CO16*CO18)+(CT16*CT18)+(CY16*CY18)+(DD16*DD18)+(DH16*DH18)+(DM16*DM18)+(DR16*DR18)+(DX16*DX18)+(EB16*EB18)+(EH16*EH18)+(EN16*EN18)+(ES16*ES18)+(EX16*EX18)</f>
        <v>0.70450000000000013</v>
      </c>
      <c r="HQ17" s="118">
        <f>(FF16*FF18)</f>
        <v>0.6</v>
      </c>
      <c r="HR17" s="117">
        <f>(HH16*HH18)+(HN16*HN18)+(GZ16*GZ18)+(GQ16*GQ18)+(GK16*GK18)+(GC16*GC18)+(FW16*FW18)+(FR16*FR18)+(FL16*FL18)</f>
        <v>0.70499999999999996</v>
      </c>
      <c r="HS17" s="117">
        <f>(HO17*HO18)+(HP17*HP18)+(HQ17*HQ18)+(HR17*HR18)</f>
        <v>0.73480000000000012</v>
      </c>
    </row>
    <row r="18" spans="1:227" ht="54" customHeight="1" x14ac:dyDescent="0.25">
      <c r="F18" s="115">
        <v>0.05</v>
      </c>
      <c r="J18" s="115">
        <v>0.1</v>
      </c>
      <c r="O18" s="115">
        <v>0.03</v>
      </c>
      <c r="T18" s="115">
        <v>0.04</v>
      </c>
      <c r="X18" s="115">
        <v>0.05</v>
      </c>
      <c r="AC18" s="115">
        <v>0.05</v>
      </c>
      <c r="AH18" s="115">
        <v>0.1</v>
      </c>
      <c r="AM18" s="115">
        <v>0.05</v>
      </c>
      <c r="AR18" s="115">
        <v>0.05</v>
      </c>
      <c r="AV18" s="115">
        <v>0.03</v>
      </c>
      <c r="AZ18" s="115">
        <v>0.03</v>
      </c>
      <c r="BE18" s="115">
        <v>0.1</v>
      </c>
      <c r="BI18" s="115">
        <v>0.02</v>
      </c>
      <c r="BO18" s="115">
        <v>0.05</v>
      </c>
      <c r="BT18" s="115">
        <v>0.05</v>
      </c>
      <c r="BY18" s="115">
        <v>0.05</v>
      </c>
      <c r="CD18" s="115">
        <v>0.1</v>
      </c>
      <c r="CI18" s="115">
        <v>0.05</v>
      </c>
      <c r="CO18" s="116">
        <v>0.11</v>
      </c>
      <c r="CT18" s="116">
        <v>0.08</v>
      </c>
      <c r="CY18" s="116">
        <v>0.05</v>
      </c>
      <c r="DD18" s="116">
        <v>0.05</v>
      </c>
      <c r="DH18" s="116">
        <v>-0.05</v>
      </c>
      <c r="DM18" s="116">
        <v>0.08</v>
      </c>
      <c r="DR18" s="116">
        <v>0.1</v>
      </c>
      <c r="DX18" s="116">
        <v>0.08</v>
      </c>
      <c r="EB18" s="116">
        <v>0.03</v>
      </c>
      <c r="EH18" s="116">
        <v>0.1</v>
      </c>
      <c r="EN18" s="116">
        <v>0.15</v>
      </c>
      <c r="ES18" s="116">
        <v>0.05</v>
      </c>
      <c r="EX18" s="116">
        <v>7.0000000000000007E-2</v>
      </c>
      <c r="FF18" s="112">
        <v>1</v>
      </c>
      <c r="FL18" s="57">
        <v>0.1</v>
      </c>
      <c r="FR18" s="57">
        <v>0.1</v>
      </c>
      <c r="FW18" s="57">
        <v>0.05</v>
      </c>
      <c r="GC18" s="57">
        <v>0.1</v>
      </c>
      <c r="GK18" s="57">
        <v>0.1</v>
      </c>
      <c r="GQ18" s="57">
        <v>0.1</v>
      </c>
      <c r="GZ18" s="57">
        <v>0.15</v>
      </c>
      <c r="HH18" s="57">
        <v>0.15</v>
      </c>
      <c r="HN18" s="57">
        <v>0.15</v>
      </c>
      <c r="HO18" s="113">
        <v>0.4</v>
      </c>
      <c r="HP18" s="113">
        <v>0.2</v>
      </c>
      <c r="HQ18" s="113">
        <v>0.1</v>
      </c>
      <c r="HR18" s="113">
        <v>0.3</v>
      </c>
      <c r="HS18" s="114"/>
    </row>
  </sheetData>
  <sheetProtection selectLockedCells="1" selectUnlockedCells="1"/>
  <protectedRanges>
    <protectedRange algorithmName="SHA-512" hashValue="didxPUP0su8X7pvxVMq2YEti8D1p/ld4AEb07XHVmnszWNy6nvv5fdXYB7KkYZOeMF67mfDDTCH77DGoLcZ7Sw==" saltValue="OhU/Llmv5k4/uuAtwYmB9g==" spinCount="100000" sqref="B16:HN16" name="Range2"/>
  </protectedRanges>
  <mergeCells count="51">
    <mergeCell ref="A2:HS11"/>
    <mergeCell ref="BU14:BY14"/>
    <mergeCell ref="BZ14:CC14"/>
    <mergeCell ref="CE14:CI14"/>
    <mergeCell ref="AW14:AZ14"/>
    <mergeCell ref="BA14:BE14"/>
    <mergeCell ref="BF14:BI14"/>
    <mergeCell ref="BJ14:BM14"/>
    <mergeCell ref="BP14:BT14"/>
    <mergeCell ref="HO13:HO16"/>
    <mergeCell ref="HP13:HP16"/>
    <mergeCell ref="HR13:HR16"/>
    <mergeCell ref="HS13:HS16"/>
    <mergeCell ref="EY13:FF13"/>
    <mergeCell ref="EY14:FF14"/>
    <mergeCell ref="FG14:FL14"/>
    <mergeCell ref="FM14:FR14"/>
    <mergeCell ref="FS14:FW14"/>
    <mergeCell ref="FX14:GC14"/>
    <mergeCell ref="GD14:GJ14"/>
    <mergeCell ref="GL14:GQ14"/>
    <mergeCell ref="GR14:GY14"/>
    <mergeCell ref="HA14:HH14"/>
    <mergeCell ref="HI14:HN14"/>
    <mergeCell ref="A13:A16"/>
    <mergeCell ref="B13:CI13"/>
    <mergeCell ref="CJ13:EX13"/>
    <mergeCell ref="FG13:HN13"/>
    <mergeCell ref="Y14:AC14"/>
    <mergeCell ref="AD14:AH14"/>
    <mergeCell ref="U14:X14"/>
    <mergeCell ref="P14:T14"/>
    <mergeCell ref="K14:O14"/>
    <mergeCell ref="G14:J14"/>
    <mergeCell ref="B14:F14"/>
    <mergeCell ref="AI14:AM14"/>
    <mergeCell ref="AN14:AR14"/>
    <mergeCell ref="AS14:AV14"/>
    <mergeCell ref="CJ14:CO14"/>
    <mergeCell ref="CP14:CT14"/>
    <mergeCell ref="CU14:CY14"/>
    <mergeCell ref="CZ14:DD14"/>
    <mergeCell ref="DE14:DH14"/>
    <mergeCell ref="EI14:EN14"/>
    <mergeCell ref="EO14:ES14"/>
    <mergeCell ref="ET14:EX14"/>
    <mergeCell ref="DI14:DM14"/>
    <mergeCell ref="DN14:DR14"/>
    <mergeCell ref="DS14:DX14"/>
    <mergeCell ref="DY14:EB14"/>
    <mergeCell ref="EC14:EH14"/>
  </mergeCells>
  <conditionalFormatting sqref="DI1:EX1">
    <cfRule type="cellIs" dxfId="19" priority="21" operator="between">
      <formula>0.8</formula>
      <formula>1</formula>
    </cfRule>
    <cfRule type="cellIs" dxfId="18" priority="22" operator="between">
      <formula>0.6</formula>
      <formula>0.8</formula>
    </cfRule>
    <cfRule type="cellIs" dxfId="17" priority="23" operator="between">
      <formula>0.4</formula>
      <formula>0.6</formula>
    </cfRule>
    <cfRule type="cellIs" dxfId="16" priority="24" operator="between">
      <formula>0.2</formula>
      <formula>0.4</formula>
    </cfRule>
    <cfRule type="cellIs" dxfId="15" priority="25" operator="between">
      <formula>0</formula>
      <formula>0.2</formula>
    </cfRule>
  </conditionalFormatting>
  <conditionalFormatting sqref="HS17">
    <cfRule type="cellIs" dxfId="14" priority="16" operator="between">
      <formula>0.8</formula>
      <formula>1</formula>
    </cfRule>
    <cfRule type="cellIs" dxfId="13" priority="17" operator="between">
      <formula>0.6</formula>
      <formula>0.8</formula>
    </cfRule>
    <cfRule type="cellIs" dxfId="12" priority="18" operator="between">
      <formula>0.4</formula>
      <formula>0.6</formula>
    </cfRule>
    <cfRule type="cellIs" dxfId="11" priority="19" operator="between">
      <formula>0.2</formula>
      <formula>0.4</formula>
    </cfRule>
    <cfRule type="cellIs" dxfId="10" priority="20" operator="between">
      <formula>0</formula>
      <formula>0.2</formula>
    </cfRule>
  </conditionalFormatting>
  <conditionalFormatting sqref="HR17">
    <cfRule type="cellIs" dxfId="9" priority="11" operator="between">
      <formula>0.8</formula>
      <formula>1</formula>
    </cfRule>
    <cfRule type="cellIs" dxfId="8" priority="12" operator="between">
      <formula>0.6</formula>
      <formula>0.8</formula>
    </cfRule>
    <cfRule type="cellIs" dxfId="7" priority="13" operator="between">
      <formula>0.4</formula>
      <formula>0.6</formula>
    </cfRule>
    <cfRule type="cellIs" dxfId="6" priority="14" operator="between">
      <formula>0.2</formula>
      <formula>0.4</formula>
    </cfRule>
    <cfRule type="cellIs" dxfId="5" priority="15" operator="between">
      <formula>0</formula>
      <formula>0.2</formula>
    </cfRule>
  </conditionalFormatting>
  <conditionalFormatting sqref="HP17">
    <cfRule type="cellIs" dxfId="4" priority="6" operator="between">
      <formula>0.8</formula>
      <formula>1</formula>
    </cfRule>
    <cfRule type="cellIs" dxfId="3" priority="7" operator="between">
      <formula>0.6</formula>
      <formula>0.8</formula>
    </cfRule>
    <cfRule type="cellIs" dxfId="2" priority="8" operator="between">
      <formula>0.4</formula>
      <formula>0.6</formula>
    </cfRule>
    <cfRule type="cellIs" dxfId="1" priority="9" operator="between">
      <formula>0.2</formula>
      <formula>0.4</formula>
    </cfRule>
    <cfRule type="cellIs" dxfId="0" priority="10" operator="between">
      <formula>0</formula>
      <formula>0.2</formula>
    </cfRule>
  </conditionalFormatting>
  <pageMargins left="0.7" right="0.7" top="0.75" bottom="0.75" header="0.3" footer="0.3"/>
  <pageSetup orientation="portrait" r:id="rId1"/>
  <ignoredErrors>
    <ignoredError sqref="F16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Standley Moïse</dc:creator>
  <cp:lastModifiedBy>Standley Moïse</cp:lastModifiedBy>
  <dcterms:created xsi:type="dcterms:W3CDTF">2020-02-07T02:55:03Z</dcterms:created>
  <dcterms:modified xsi:type="dcterms:W3CDTF">2020-03-07T23:32:36Z</dcterms:modified>
</cp:coreProperties>
</file>